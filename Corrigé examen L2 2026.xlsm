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25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EFSAF\Desktop\Copie et corrigé\"/>
    </mc:Choice>
  </mc:AlternateContent>
  <xr:revisionPtr revIDLastSave="7" documentId="8_{9741A382-CA71-4034-9BFE-F2A065D9C6BF}" xr6:coauthVersionLast="47" xr6:coauthVersionMax="47" xr10:uidLastSave="{DD03BFCA-5BD6-4273-826C-F33DEAA86247}"/>
  <bookViews>
    <workbookView xWindow="0" yWindow="0" windowWidth="28800" windowHeight="12105" activeTab="1" xr2:uid="{DCDF6D62-0D4D-49F5-BAF6-EFCB38ED3550}"/>
  </bookViews>
  <sheets>
    <sheet name="Exercice 1" sheetId="4" r:id="rId1"/>
    <sheet name="Exerice 2" sheetId="2" r:id="rId2"/>
    <sheet name="Exerice 3" sheetId="3" r:id="rId3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62" i="2" l="1"/>
  <c r="I62" i="2"/>
  <c r="G62" i="2"/>
  <c r="D8" i="3"/>
  <c r="K63" i="2" l="1"/>
  <c r="K66" i="2" s="1"/>
  <c r="J66" i="2"/>
  <c r="F6" i="2"/>
  <c r="F18" i="2"/>
  <c r="F23" i="2"/>
  <c r="J22" i="3"/>
  <c r="J14" i="3"/>
  <c r="J4" i="3"/>
  <c r="D28" i="3"/>
  <c r="D23" i="3"/>
  <c r="D20" i="3"/>
  <c r="D15" i="3"/>
  <c r="D12" i="3"/>
  <c r="D4" i="3"/>
  <c r="J5" i="3" l="1"/>
  <c r="J6" i="3" s="1"/>
  <c r="J23" i="3"/>
  <c r="J24" i="3" s="1"/>
  <c r="F26" i="3" s="1"/>
  <c r="J15" i="3"/>
  <c r="J16" i="3" s="1"/>
  <c r="J23" i="4"/>
  <c r="I22" i="4"/>
  <c r="C14" i="4"/>
  <c r="D14" i="4" s="1"/>
  <c r="I27" i="4" l="1"/>
  <c r="J28" i="4" s="1"/>
  <c r="E14" i="4"/>
  <c r="B15" i="4" s="1"/>
  <c r="J31" i="3"/>
  <c r="J17" i="3"/>
  <c r="J18" i="3" s="1"/>
  <c r="J7" i="3"/>
  <c r="J8" i="3"/>
  <c r="J25" i="3"/>
  <c r="C15" i="4" l="1"/>
  <c r="D15" i="4" s="1"/>
  <c r="E15" i="4"/>
  <c r="B16" i="4" s="1"/>
  <c r="J19" i="3"/>
  <c r="J20" i="3" s="1"/>
  <c r="J32" i="3"/>
  <c r="E30" i="3" s="1"/>
  <c r="J26" i="3"/>
  <c r="E25" i="3"/>
  <c r="C16" i="4" l="1"/>
  <c r="J27" i="3"/>
  <c r="F27" i="3" s="1"/>
  <c r="J33" i="3"/>
  <c r="D16" i="4" l="1"/>
  <c r="E16" i="4"/>
  <c r="B17" i="4" s="1"/>
  <c r="J28" i="3"/>
  <c r="E24" i="3" s="1"/>
  <c r="J34" i="3"/>
  <c r="F32" i="3" s="1"/>
  <c r="F34" i="3" s="1"/>
  <c r="C17" i="4" l="1"/>
  <c r="E17" i="4"/>
  <c r="B18" i="4" s="1"/>
  <c r="J35" i="3"/>
  <c r="E29" i="3" s="1"/>
  <c r="E34" i="3" s="1"/>
  <c r="G33" i="3" s="1"/>
  <c r="C18" i="4" l="1"/>
  <c r="E18" i="4" s="1"/>
</calcChain>
</file>

<file path=xl/sharedStrings.xml><?xml version="1.0" encoding="utf-8"?>
<sst xmlns="http://schemas.openxmlformats.org/spreadsheetml/2006/main" count="137" uniqueCount="80">
  <si>
    <t xml:space="preserve">Définition : </t>
  </si>
  <si>
    <t>1 point</t>
  </si>
  <si>
    <t>Exercice</t>
  </si>
  <si>
    <t>Base amortissable</t>
  </si>
  <si>
    <t>Annuité</t>
  </si>
  <si>
    <t>Amortissements cumulés</t>
  </si>
  <si>
    <t>VNC fin d’exercice</t>
  </si>
  <si>
    <t>N</t>
  </si>
  <si>
    <t>N+1</t>
  </si>
  <si>
    <t>N+2</t>
  </si>
  <si>
    <t>2 points</t>
  </si>
  <si>
    <t>N+3</t>
  </si>
  <si>
    <t>N+4</t>
  </si>
  <si>
    <t>N+5</t>
  </si>
  <si>
    <t>31/1/2/N</t>
  </si>
  <si>
    <t>Dotation aux amortissements</t>
  </si>
  <si>
    <t xml:space="preserve">       Amortissement d'immobilisation</t>
  </si>
  <si>
    <t>d'après plan d'amort linéaire</t>
  </si>
  <si>
    <t>d'après plan d'amort dégressif</t>
  </si>
  <si>
    <t>TVA collectée en France</t>
  </si>
  <si>
    <t>Opération</t>
  </si>
  <si>
    <t>Base HT</t>
  </si>
  <si>
    <t>Taux</t>
  </si>
  <si>
    <t>TVA</t>
  </si>
  <si>
    <t>Ventes jouets</t>
  </si>
  <si>
    <t>Ventes livres</t>
  </si>
  <si>
    <t>Ventes disques</t>
  </si>
  <si>
    <t>TVA collectée France = 2 700 + 1 320 + 10 200 = 14 220 €</t>
  </si>
  <si>
    <t>Opérations intracommunautaires et exportations sont exéonérés de la TVA</t>
  </si>
  <si>
    <t>B. TVA déductible</t>
  </si>
  <si>
    <t>Achats en France</t>
  </si>
  <si>
    <t>Achats jouets</t>
  </si>
  <si>
    <t>Achats livres</t>
  </si>
  <si>
    <t>Achats disques</t>
  </si>
  <si>
    <t>TVA déductible achats = 4 230 €</t>
  </si>
  <si>
    <t>Immobilisation</t>
  </si>
  <si>
    <t>Informatique</t>
  </si>
  <si>
    <t>TVA déductible immo = 4 400 €</t>
  </si>
  <si>
    <t>Acquisition intracommunautaire (Allemagne)</t>
  </si>
  <si>
    <t>Base : 20 000 €</t>
  </si>
  <si>
    <t>TVA à 20% : 4 000 €</t>
  </si>
  <si>
    <t>cette TVA est collectée et déductible sur la même déclaration, Impact neutre</t>
  </si>
  <si>
    <t>Total TVA déductible</t>
  </si>
  <si>
    <t>= 4 230 + 4 400 + 4 000</t>
  </si>
  <si>
    <t>= 12 630 €</t>
  </si>
  <si>
    <t>C. Calcul TVA à payer</t>
  </si>
  <si>
    <t>TVA à payer=TVA collectée−TVA déductible= (14 220 + 4 000) - 12 630= 18 220 - 12 630 = 5 590 €</t>
  </si>
  <si>
    <t>3 points</t>
  </si>
  <si>
    <t>Prise en compte du crédit antérieur</t>
  </si>
  <si>
    <t>5590−1560= 4030 €</t>
  </si>
  <si>
    <t>TVA à payer = 4 030 €</t>
  </si>
  <si>
    <t>N° pièce</t>
  </si>
  <si>
    <t>Compte</t>
  </si>
  <si>
    <t>Libellé</t>
  </si>
  <si>
    <t>Débit (€)</t>
  </si>
  <si>
    <t>Crédit (€)</t>
  </si>
  <si>
    <t>TVA collectée</t>
  </si>
  <si>
    <t>Crédit de TVA à reporter</t>
  </si>
  <si>
    <t xml:space="preserve"> TVA déductible biens et services</t>
  </si>
  <si>
    <t>TVA déductible immobilisations</t>
  </si>
  <si>
    <t>TVA à décaisser</t>
  </si>
  <si>
    <t>CA 3 Novembre</t>
  </si>
  <si>
    <t xml:space="preserve">        Banque</t>
  </si>
  <si>
    <t>Virement N°..</t>
  </si>
  <si>
    <t xml:space="preserve">La TVA en Algérie </t>
  </si>
  <si>
    <t>1 point par écriture comptable, les calculs et les factures schématiques ne sont pas demandés</t>
  </si>
  <si>
    <t>Date</t>
  </si>
  <si>
    <t>Achats de marchandises</t>
  </si>
  <si>
    <t>Remise 10%</t>
  </si>
  <si>
    <t>TVA déductible sur ABS</t>
  </si>
  <si>
    <t>Fournisseurs</t>
  </si>
  <si>
    <t>Net</t>
  </si>
  <si>
    <t>Escomptes obtenus</t>
  </si>
  <si>
    <t>Banque</t>
  </si>
  <si>
    <t>Escompte</t>
  </si>
  <si>
    <t>Net fi</t>
  </si>
  <si>
    <t>RRR obtenus sur achats de marchandises</t>
  </si>
  <si>
    <t>Rabais</t>
  </si>
  <si>
    <t>escompte</t>
  </si>
  <si>
    <t>net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</si>
</sst>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3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0"/>
      <color theme="1"/>
      <name val="Arial Unicode MS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</borders>
  <cellStyleXfs count="1">
    <xf numFmtId="0" fontId="0" fillId="0" borderId="0"/>
  </cellStyleXfs>
  <cellXfs count="50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3" fontId="0" fillId="0" borderId="0" xfId="0" applyNumberFormat="1" applyAlignment="1">
      <alignment vertical="center" wrapText="1"/>
    </xf>
    <xf numFmtId="9" fontId="0" fillId="0" borderId="0" xfId="0" applyNumberFormat="1" applyAlignment="1">
      <alignment vertical="center" wrapText="1"/>
    </xf>
    <xf numFmtId="10" fontId="0" fillId="0" borderId="0" xfId="0" applyNumberFormat="1" applyAlignment="1">
      <alignment vertical="center" wrapText="1"/>
    </xf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0" fontId="0" fillId="0" borderId="0" xfId="0" applyAlignment="1">
      <alignment horizontal="left" vertical="center" indent="1"/>
    </xf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0" fillId="0" borderId="0" xfId="0" quotePrefix="1"/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right" vertical="center" wrapText="1"/>
    </xf>
    <xf numFmtId="0" fontId="0" fillId="0" borderId="1" xfId="0" applyBorder="1" applyAlignment="1">
      <alignment vertical="center" wrapText="1"/>
    </xf>
    <xf numFmtId="3" fontId="0" fillId="0" borderId="1" xfId="0" applyNumberFormat="1" applyBorder="1" applyAlignment="1">
      <alignment horizontal="right" vertical="center" wrapText="1"/>
    </xf>
    <xf numFmtId="0" fontId="0" fillId="0" borderId="3" xfId="0" applyBorder="1"/>
    <xf numFmtId="0" fontId="0" fillId="0" borderId="4" xfId="0" applyBorder="1"/>
    <xf numFmtId="0" fontId="0" fillId="0" borderId="2" xfId="0" applyBorder="1"/>
    <xf numFmtId="3" fontId="0" fillId="0" borderId="2" xfId="0" applyNumberFormat="1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1" fillId="0" borderId="11" xfId="0" applyFont="1" applyBorder="1" applyAlignment="1">
      <alignment horizontal="center" vertical="center" wrapText="1"/>
    </xf>
    <xf numFmtId="0" fontId="1" fillId="0" borderId="11" xfId="0" applyFont="1" applyBorder="1" applyAlignment="1">
      <alignment horizontal="right" vertical="center" wrapText="1"/>
    </xf>
    <xf numFmtId="16" fontId="1" fillId="0" borderId="11" xfId="0" applyNumberFormat="1" applyFont="1" applyBorder="1" applyAlignment="1">
      <alignment horizontal="center" vertical="center" wrapText="1"/>
    </xf>
    <xf numFmtId="0" fontId="0" fillId="0" borderId="11" xfId="0" applyBorder="1" applyAlignment="1">
      <alignment vertical="center" wrapText="1"/>
    </xf>
    <xf numFmtId="0" fontId="0" fillId="0" borderId="11" xfId="0" applyBorder="1"/>
    <xf numFmtId="4" fontId="0" fillId="0" borderId="11" xfId="0" applyNumberFormat="1" applyBorder="1" applyAlignment="1">
      <alignment horizontal="right" vertical="center" wrapText="1"/>
    </xf>
    <xf numFmtId="0" fontId="0" fillId="0" borderId="11" xfId="0" applyBorder="1" applyAlignment="1">
      <alignment horizontal="right" vertical="center" wrapText="1"/>
    </xf>
    <xf numFmtId="16" fontId="1" fillId="0" borderId="12" xfId="0" applyNumberFormat="1" applyFont="1" applyBorder="1" applyAlignment="1">
      <alignment horizontal="center" vertical="center" wrapText="1"/>
    </xf>
    <xf numFmtId="0" fontId="0" fillId="0" borderId="13" xfId="0" applyBorder="1" applyAlignment="1">
      <alignment horizontal="left" vertical="center" wrapText="1" indent="3"/>
    </xf>
    <xf numFmtId="0" fontId="0" fillId="0" borderId="11" xfId="0" applyBorder="1" applyAlignment="1">
      <alignment horizontal="left" vertical="center" wrapText="1" indent="4"/>
    </xf>
    <xf numFmtId="0" fontId="0" fillId="0" borderId="11" xfId="0" applyBorder="1" applyAlignment="1">
      <alignment horizontal="left" vertical="center" wrapText="1" indent="5"/>
    </xf>
    <xf numFmtId="0" fontId="0" fillId="0" borderId="13" xfId="0" applyBorder="1" applyAlignment="1">
      <alignment horizontal="left" vertical="center" wrapText="1" indent="4"/>
    </xf>
    <xf numFmtId="4" fontId="0" fillId="0" borderId="0" xfId="0" applyNumberFormat="1"/>
    <xf numFmtId="3" fontId="0" fillId="0" borderId="0" xfId="0" applyNumberFormat="1"/>
    <xf numFmtId="0" fontId="0" fillId="2" borderId="0" xfId="0" applyFill="1"/>
    <xf numFmtId="0" fontId="7" fillId="0" borderId="0" xfId="0" applyFont="1"/>
    <xf numFmtId="0" fontId="6" fillId="0" borderId="0" xfId="0" applyFont="1" applyAlignment="1">
      <alignment horizontal="center" vertical="center" wrapText="1"/>
    </xf>
    <xf numFmtId="16" fontId="7" fillId="0" borderId="0" xfId="0" applyNumberFormat="1" applyFont="1" applyAlignment="1">
      <alignment vertical="center" wrapText="1"/>
    </xf>
    <xf numFmtId="0" fontId="7" fillId="0" borderId="0" xfId="0" applyFont="1" applyAlignment="1">
      <alignment vertical="center" wrapText="1"/>
    </xf>
    <xf numFmtId="0" fontId="0" fillId="0" borderId="11" xfId="0" applyBorder="1" applyAlignment="1">
      <alignment horizontal="left" vertical="center" wrapText="1" indent="2"/>
    </xf>
    <xf numFmtId="0" fontId="0" fillId="0" borderId="13" xfId="0" applyBorder="1" applyAlignment="1">
      <alignment horizontal="center" vertical="center" wrapText="1"/>
    </xf>
    <xf numFmtId="4" fontId="1" fillId="0" borderId="11" xfId="0" applyNumberFormat="1" applyFont="1" applyBorder="1" applyAlignment="1">
      <alignment horizontal="right" vertical="center" wrapText="1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90C0A6-692B-495B-A252-85B15F6F197C}">
  <sheetPr codeName="Feuil1"/>
  <dimension ref="A1:L29"/>
  <sheetViews>
    <sheetView topLeftCell="A4" workbookViewId="0">
      <selection activeCell="J4" sqref="J4"/>
    </sheetView>
  </sheetViews>
  <sheetFormatPr defaultColWidth="11.42578125" defaultRowHeight="15"/>
  <cols>
    <col min="2" max="2" width="14.28515625" customWidth="1"/>
  </cols>
  <sheetData>
    <row r="1" spans="1:6">
      <c r="A1" t="s">
        <v>0</v>
      </c>
      <c r="B1" s="39" t="s">
        <v>1</v>
      </c>
    </row>
    <row r="4" spans="1:6" ht="45">
      <c r="A4" s="14" t="s">
        <v>2</v>
      </c>
      <c r="B4" s="15" t="s">
        <v>3</v>
      </c>
      <c r="C4" s="15" t="s">
        <v>4</v>
      </c>
      <c r="D4" s="15" t="s">
        <v>5</v>
      </c>
      <c r="E4" s="15" t="s">
        <v>6</v>
      </c>
    </row>
    <row r="5" spans="1:6">
      <c r="A5" s="16" t="s">
        <v>7</v>
      </c>
      <c r="B5" s="17">
        <v>75000</v>
      </c>
      <c r="C5" s="17">
        <v>12500</v>
      </c>
      <c r="D5" s="17">
        <v>12500</v>
      </c>
      <c r="E5" s="17">
        <v>67500</v>
      </c>
    </row>
    <row r="6" spans="1:6">
      <c r="A6" s="16" t="s">
        <v>8</v>
      </c>
      <c r="B6" s="17">
        <v>75000</v>
      </c>
      <c r="C6" s="17">
        <v>15000</v>
      </c>
      <c r="D6" s="17">
        <v>27500</v>
      </c>
      <c r="E6" s="17">
        <v>52500</v>
      </c>
    </row>
    <row r="7" spans="1:6">
      <c r="A7" s="16" t="s">
        <v>9</v>
      </c>
      <c r="B7" s="17">
        <v>75000</v>
      </c>
      <c r="C7" s="17">
        <v>15000</v>
      </c>
      <c r="D7" s="17">
        <v>42500</v>
      </c>
      <c r="E7" s="17">
        <v>37500</v>
      </c>
      <c r="F7" s="39" t="s">
        <v>10</v>
      </c>
    </row>
    <row r="8" spans="1:6">
      <c r="A8" s="16" t="s">
        <v>11</v>
      </c>
      <c r="B8" s="17">
        <v>75000</v>
      </c>
      <c r="C8" s="17">
        <v>15000</v>
      </c>
      <c r="D8" s="17">
        <v>57500</v>
      </c>
      <c r="E8" s="17">
        <v>22500</v>
      </c>
    </row>
    <row r="9" spans="1:6">
      <c r="A9" s="16" t="s">
        <v>12</v>
      </c>
      <c r="B9" s="17">
        <v>75000</v>
      </c>
      <c r="C9" s="17">
        <v>15000</v>
      </c>
      <c r="D9" s="17">
        <v>72500</v>
      </c>
      <c r="E9" s="17">
        <v>7500</v>
      </c>
    </row>
    <row r="10" spans="1:6">
      <c r="A10" s="16" t="s">
        <v>13</v>
      </c>
      <c r="B10" s="17">
        <v>75000</v>
      </c>
      <c r="C10" s="17">
        <v>2500</v>
      </c>
      <c r="D10" s="17">
        <v>75000</v>
      </c>
      <c r="E10" s="17">
        <v>5000</v>
      </c>
    </row>
    <row r="13" spans="1:6" ht="45">
      <c r="A13" s="14" t="s">
        <v>2</v>
      </c>
      <c r="B13" s="15" t="s">
        <v>3</v>
      </c>
      <c r="C13" s="15" t="s">
        <v>4</v>
      </c>
      <c r="D13" s="15" t="s">
        <v>5</v>
      </c>
      <c r="E13" s="15" t="s">
        <v>6</v>
      </c>
    </row>
    <row r="14" spans="1:6">
      <c r="A14" s="16" t="s">
        <v>7</v>
      </c>
      <c r="B14" s="17">
        <v>80000</v>
      </c>
      <c r="C14" s="17">
        <f>B14*35%*10/12</f>
        <v>23333.333333333332</v>
      </c>
      <c r="D14" s="17">
        <f>C14</f>
        <v>23333.333333333332</v>
      </c>
      <c r="E14" s="17">
        <f>B14-D14</f>
        <v>56666.666666666672</v>
      </c>
    </row>
    <row r="15" spans="1:6">
      <c r="A15" s="16" t="s">
        <v>8</v>
      </c>
      <c r="B15" s="17">
        <f>E14</f>
        <v>56666.666666666672</v>
      </c>
      <c r="C15" s="17">
        <f>B15*35%</f>
        <v>19833.333333333332</v>
      </c>
      <c r="D15" s="17">
        <f>C15+D14</f>
        <v>43166.666666666664</v>
      </c>
      <c r="E15" s="17">
        <f>B15-C15</f>
        <v>36833.333333333343</v>
      </c>
      <c r="F15" s="39" t="s">
        <v>10</v>
      </c>
    </row>
    <row r="16" spans="1:6">
      <c r="A16" s="16" t="s">
        <v>9</v>
      </c>
      <c r="B16" s="17">
        <f t="shared" ref="B16:B18" si="0">E15</f>
        <v>36833.333333333343</v>
      </c>
      <c r="C16" s="17">
        <f>B16*35%</f>
        <v>12891.66666666667</v>
      </c>
      <c r="D16" s="17">
        <f>C16+D15</f>
        <v>56058.333333333336</v>
      </c>
      <c r="E16" s="17">
        <f>B16-C16</f>
        <v>23941.666666666672</v>
      </c>
    </row>
    <row r="17" spans="1:12">
      <c r="A17" s="16" t="s">
        <v>11</v>
      </c>
      <c r="B17" s="17">
        <f t="shared" si="0"/>
        <v>23941.666666666672</v>
      </c>
      <c r="C17" s="17">
        <f>B17/2</f>
        <v>11970.833333333336</v>
      </c>
      <c r="D17" s="17">
        <v>57500</v>
      </c>
      <c r="E17" s="17">
        <f t="shared" ref="E17:E18" si="1">B17-C17</f>
        <v>11970.833333333336</v>
      </c>
    </row>
    <row r="18" spans="1:12">
      <c r="A18" s="16" t="s">
        <v>12</v>
      </c>
      <c r="B18" s="17">
        <f t="shared" si="0"/>
        <v>11970.833333333336</v>
      </c>
      <c r="C18" s="17">
        <f>B18</f>
        <v>11970.833333333336</v>
      </c>
      <c r="D18" s="17">
        <v>72500</v>
      </c>
      <c r="E18" s="17">
        <f t="shared" si="1"/>
        <v>0</v>
      </c>
    </row>
    <row r="19" spans="1:12">
      <c r="A19" s="16"/>
      <c r="B19" s="17"/>
      <c r="C19" s="17"/>
      <c r="D19" s="17"/>
      <c r="E19" s="17"/>
    </row>
    <row r="21" spans="1:12">
      <c r="D21" s="20"/>
      <c r="E21" s="20"/>
      <c r="F21" s="22"/>
      <c r="G21" s="23" t="s">
        <v>14</v>
      </c>
      <c r="H21" s="24"/>
      <c r="I21" s="20"/>
      <c r="J21" s="20"/>
    </row>
    <row r="22" spans="1:12">
      <c r="D22" s="20">
        <v>681</v>
      </c>
      <c r="E22" s="20"/>
      <c r="F22" s="18" t="s">
        <v>15</v>
      </c>
      <c r="H22" s="19"/>
      <c r="I22" s="21">
        <f>C5</f>
        <v>12500</v>
      </c>
      <c r="J22" s="20"/>
    </row>
    <row r="23" spans="1:12">
      <c r="D23" s="20"/>
      <c r="E23" s="20">
        <v>281</v>
      </c>
      <c r="F23" s="18" t="s">
        <v>16</v>
      </c>
      <c r="H23" s="19"/>
      <c r="I23" s="20"/>
      <c r="J23" s="21">
        <f>C5</f>
        <v>12500</v>
      </c>
    </row>
    <row r="24" spans="1:12">
      <c r="D24" s="20"/>
      <c r="E24" s="20"/>
      <c r="F24" s="47" t="s">
        <v>17</v>
      </c>
      <c r="G24" s="48"/>
      <c r="H24" s="49"/>
      <c r="I24" s="20"/>
      <c r="J24" s="20"/>
      <c r="L24" s="39" t="s">
        <v>1</v>
      </c>
    </row>
    <row r="25" spans="1:12">
      <c r="D25" s="20"/>
      <c r="E25" s="20"/>
      <c r="I25" s="20"/>
      <c r="J25" s="20"/>
    </row>
    <row r="26" spans="1:12">
      <c r="D26" s="20"/>
      <c r="E26" s="20"/>
      <c r="F26" s="22"/>
      <c r="G26" s="23" t="s">
        <v>14</v>
      </c>
      <c r="H26" s="24"/>
      <c r="I26" s="20"/>
      <c r="J26" s="20"/>
    </row>
    <row r="27" spans="1:12">
      <c r="D27" s="20">
        <v>681</v>
      </c>
      <c r="E27" s="20"/>
      <c r="F27" s="18" t="s">
        <v>15</v>
      </c>
      <c r="H27" s="19"/>
      <c r="I27" s="21">
        <f>D14</f>
        <v>23333.333333333332</v>
      </c>
      <c r="J27" s="20"/>
    </row>
    <row r="28" spans="1:12">
      <c r="D28" s="20"/>
      <c r="E28" s="20">
        <v>281</v>
      </c>
      <c r="F28" s="18" t="s">
        <v>16</v>
      </c>
      <c r="H28" s="19"/>
      <c r="I28" s="20"/>
      <c r="J28" s="21">
        <f>I27</f>
        <v>23333.333333333332</v>
      </c>
    </row>
    <row r="29" spans="1:12">
      <c r="D29" s="20"/>
      <c r="E29" s="20"/>
      <c r="F29" s="47" t="s">
        <v>18</v>
      </c>
      <c r="G29" s="48"/>
      <c r="H29" s="49"/>
      <c r="I29" s="20"/>
      <c r="J29" s="20"/>
    </row>
  </sheetData>
  <mergeCells count="2">
    <mergeCell ref="F24:H24"/>
    <mergeCell ref="F29:H29"/>
  </mergeCell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38C98-82B2-47EE-A907-B10CAEC2C077}">
  <sheetPr codeName="Feuil2"/>
  <dimension ref="A2:M77"/>
  <sheetViews>
    <sheetView tabSelected="1" topLeftCell="A36" workbookViewId="0">
      <selection activeCell="I57" sqref="I57"/>
    </sheetView>
  </sheetViews>
  <sheetFormatPr defaultColWidth="11.42578125" defaultRowHeight="15"/>
  <cols>
    <col min="1" max="1" width="23.140625" customWidth="1"/>
    <col min="9" max="9" width="41.7109375" customWidth="1"/>
  </cols>
  <sheetData>
    <row r="2" spans="1:6" ht="18">
      <c r="A2" s="8" t="s">
        <v>19</v>
      </c>
    </row>
    <row r="4" spans="1:6">
      <c r="A4" s="2" t="s">
        <v>20</v>
      </c>
      <c r="B4" s="2" t="s">
        <v>21</v>
      </c>
      <c r="C4" s="2" t="s">
        <v>22</v>
      </c>
      <c r="D4" s="2" t="s">
        <v>23</v>
      </c>
    </row>
    <row r="5" spans="1:6">
      <c r="A5" s="3" t="s">
        <v>24</v>
      </c>
      <c r="B5" s="4">
        <v>13500</v>
      </c>
      <c r="C5" s="5">
        <v>0.2</v>
      </c>
      <c r="D5" s="4">
        <v>2700</v>
      </c>
    </row>
    <row r="6" spans="1:6">
      <c r="A6" s="3" t="s">
        <v>25</v>
      </c>
      <c r="B6" s="4">
        <v>24000</v>
      </c>
      <c r="C6" s="6">
        <v>5.5E-2</v>
      </c>
      <c r="D6" s="4">
        <v>1320</v>
      </c>
      <c r="F6" s="38">
        <f>SUM(D5:D7)</f>
        <v>14220</v>
      </c>
    </row>
    <row r="7" spans="1:6">
      <c r="A7" s="3" t="s">
        <v>26</v>
      </c>
      <c r="B7" s="4">
        <v>51000</v>
      </c>
      <c r="C7" s="5">
        <v>0.2</v>
      </c>
      <c r="D7" s="4">
        <v>10200</v>
      </c>
    </row>
    <row r="9" spans="1:6">
      <c r="A9" t="s">
        <v>27</v>
      </c>
    </row>
    <row r="11" spans="1:6" ht="18">
      <c r="A11" s="8" t="s">
        <v>28</v>
      </c>
    </row>
    <row r="13" spans="1:6" ht="18">
      <c r="A13" s="8" t="s">
        <v>29</v>
      </c>
    </row>
    <row r="15" spans="1:6" ht="18">
      <c r="A15" s="8" t="s">
        <v>30</v>
      </c>
    </row>
    <row r="16" spans="1:6">
      <c r="A16" s="2" t="s">
        <v>20</v>
      </c>
      <c r="B16" s="2" t="s">
        <v>21</v>
      </c>
      <c r="C16" s="2" t="s">
        <v>22</v>
      </c>
      <c r="D16" s="2" t="s">
        <v>23</v>
      </c>
    </row>
    <row r="17" spans="1:6">
      <c r="A17" s="3" t="s">
        <v>31</v>
      </c>
      <c r="B17" s="4">
        <v>8500</v>
      </c>
      <c r="C17" s="5">
        <v>0.2</v>
      </c>
      <c r="D17" s="4">
        <v>1700</v>
      </c>
    </row>
    <row r="18" spans="1:6">
      <c r="A18" s="3" t="s">
        <v>32</v>
      </c>
      <c r="B18" s="4">
        <v>26000</v>
      </c>
      <c r="C18" s="6">
        <v>5.5E-2</v>
      </c>
      <c r="D18" s="4">
        <v>1430</v>
      </c>
      <c r="F18" s="38">
        <f>SUM(D17:D19)</f>
        <v>4230</v>
      </c>
    </row>
    <row r="19" spans="1:6">
      <c r="A19" s="3" t="s">
        <v>33</v>
      </c>
      <c r="B19" s="4">
        <v>5500</v>
      </c>
      <c r="C19" s="5">
        <v>0.2</v>
      </c>
      <c r="D19" s="4">
        <v>1100</v>
      </c>
    </row>
    <row r="21" spans="1:6">
      <c r="A21" s="1" t="s">
        <v>34</v>
      </c>
    </row>
    <row r="23" spans="1:6" ht="18">
      <c r="A23" s="8" t="s">
        <v>35</v>
      </c>
      <c r="F23" s="38">
        <f>SUM(D17:D19)+D25</f>
        <v>8630</v>
      </c>
    </row>
    <row r="24" spans="1:6">
      <c r="A24" s="2" t="s">
        <v>20</v>
      </c>
      <c r="B24" s="2" t="s">
        <v>21</v>
      </c>
      <c r="C24" s="2" t="s">
        <v>22</v>
      </c>
      <c r="D24" s="2" t="s">
        <v>23</v>
      </c>
    </row>
    <row r="25" spans="1:6">
      <c r="A25" s="3" t="s">
        <v>36</v>
      </c>
      <c r="B25" s="4">
        <v>22000</v>
      </c>
      <c r="C25" s="5">
        <v>0.2</v>
      </c>
      <c r="D25" s="4">
        <v>4400</v>
      </c>
    </row>
    <row r="27" spans="1:6">
      <c r="A27" t="s">
        <v>37</v>
      </c>
    </row>
    <row r="30" spans="1:6" ht="18">
      <c r="A30" s="8" t="s">
        <v>38</v>
      </c>
    </row>
    <row r="31" spans="1:6">
      <c r="A31" s="9"/>
    </row>
    <row r="32" spans="1:6">
      <c r="A32" s="9" t="s">
        <v>39</v>
      </c>
    </row>
    <row r="33" spans="1:9">
      <c r="A33" s="9" t="s">
        <v>40</v>
      </c>
      <c r="B33" t="s">
        <v>41</v>
      </c>
    </row>
    <row r="35" spans="1:9" ht="23.25">
      <c r="A35" s="10" t="s">
        <v>42</v>
      </c>
    </row>
    <row r="37" spans="1:9">
      <c r="A37" t="s">
        <v>43</v>
      </c>
      <c r="B37" s="13" t="s">
        <v>44</v>
      </c>
    </row>
    <row r="39" spans="1:9" ht="23.25">
      <c r="A39" s="10" t="s">
        <v>45</v>
      </c>
    </row>
    <row r="41" spans="1:9">
      <c r="A41" t="s">
        <v>46</v>
      </c>
      <c r="I41" s="39" t="s">
        <v>47</v>
      </c>
    </row>
    <row r="43" spans="1:9" ht="18">
      <c r="A43" s="8" t="s">
        <v>48</v>
      </c>
    </row>
    <row r="45" spans="1:9">
      <c r="A45" t="s">
        <v>49</v>
      </c>
    </row>
    <row r="47" spans="1:9" ht="23.25">
      <c r="A47" s="10" t="s">
        <v>50</v>
      </c>
    </row>
    <row r="50" spans="1:13" ht="23.25">
      <c r="A50" s="10"/>
    </row>
    <row r="51" spans="1:13" ht="15.75" thickBot="1">
      <c r="A51" s="7"/>
      <c r="G51" s="25" t="s">
        <v>51</v>
      </c>
      <c r="H51" s="25" t="s">
        <v>52</v>
      </c>
      <c r="I51" s="25" t="s">
        <v>53</v>
      </c>
      <c r="J51" s="26" t="s">
        <v>54</v>
      </c>
      <c r="K51" s="26" t="s">
        <v>55</v>
      </c>
    </row>
    <row r="52" spans="1:13">
      <c r="A52" s="12"/>
      <c r="G52" s="25"/>
      <c r="H52" s="25"/>
      <c r="I52" s="32">
        <v>46356</v>
      </c>
      <c r="J52" s="46"/>
      <c r="K52" s="46"/>
    </row>
    <row r="53" spans="1:13">
      <c r="A53" s="12"/>
      <c r="G53" s="28">
        <v>44571</v>
      </c>
      <c r="H53" s="29"/>
      <c r="I53" s="28" t="s">
        <v>56</v>
      </c>
      <c r="J53" s="30">
        <v>14220</v>
      </c>
      <c r="K53" s="30"/>
    </row>
    <row r="54" spans="1:13" ht="19.5" customHeight="1">
      <c r="A54" s="12"/>
      <c r="G54" s="28"/>
      <c r="H54" s="29"/>
      <c r="I54" s="28"/>
      <c r="J54" s="30"/>
      <c r="K54" s="30"/>
      <c r="L54" s="37"/>
    </row>
    <row r="55" spans="1:13" ht="14.25" customHeight="1">
      <c r="A55" s="12"/>
      <c r="G55" s="28"/>
      <c r="H55" s="28">
        <v>44567</v>
      </c>
      <c r="I55" s="28" t="s">
        <v>57</v>
      </c>
      <c r="J55" s="30"/>
      <c r="K55" s="30">
        <v>1560</v>
      </c>
    </row>
    <row r="56" spans="1:13">
      <c r="A56" s="12"/>
      <c r="G56" s="28"/>
      <c r="H56" s="29">
        <v>44566</v>
      </c>
      <c r="I56" s="44" t="s">
        <v>58</v>
      </c>
      <c r="J56" s="30"/>
      <c r="K56" s="30">
        <v>4230</v>
      </c>
      <c r="M56" s="39" t="s">
        <v>10</v>
      </c>
    </row>
    <row r="57" spans="1:13">
      <c r="A57" s="12"/>
      <c r="G57" s="28"/>
      <c r="H57" s="29"/>
      <c r="I57" s="44"/>
      <c r="J57" s="30"/>
      <c r="K57" s="30"/>
      <c r="L57" s="37"/>
    </row>
    <row r="58" spans="1:13">
      <c r="A58" s="12"/>
      <c r="G58" s="28"/>
      <c r="H58" s="29">
        <v>44562</v>
      </c>
      <c r="I58" s="44" t="s">
        <v>59</v>
      </c>
      <c r="J58" s="30"/>
      <c r="K58" s="30">
        <v>4400</v>
      </c>
    </row>
    <row r="59" spans="1:13">
      <c r="A59" s="12"/>
      <c r="G59" s="28"/>
      <c r="H59" s="29">
        <v>44551</v>
      </c>
      <c r="I59" s="44" t="s">
        <v>60</v>
      </c>
      <c r="J59" s="30"/>
      <c r="K59" s="30">
        <v>4030</v>
      </c>
    </row>
    <row r="60" spans="1:13" ht="15.75" thickBot="1">
      <c r="A60" s="7"/>
      <c r="G60" s="28"/>
      <c r="H60" s="28"/>
      <c r="I60" s="45" t="s">
        <v>61</v>
      </c>
      <c r="J60" s="30"/>
      <c r="K60" s="30"/>
    </row>
    <row r="61" spans="1:13">
      <c r="A61" s="12"/>
      <c r="G61" s="28"/>
      <c r="H61" s="28"/>
      <c r="I61" s="27">
        <v>46380</v>
      </c>
      <c r="J61" s="30"/>
      <c r="K61" s="30"/>
    </row>
    <row r="62" spans="1:13">
      <c r="A62" s="12"/>
      <c r="G62" s="28">
        <f>H59</f>
        <v>44551</v>
      </c>
      <c r="H62" s="29"/>
      <c r="I62" s="28" t="str">
        <f>I59</f>
        <v>TVA à décaisser</v>
      </c>
      <c r="J62" s="30">
        <f>K59</f>
        <v>4030</v>
      </c>
      <c r="K62" s="30"/>
    </row>
    <row r="63" spans="1:13">
      <c r="A63" s="12"/>
      <c r="G63" s="28"/>
      <c r="H63" s="28">
        <v>512</v>
      </c>
      <c r="I63" s="28" t="s">
        <v>62</v>
      </c>
      <c r="J63" s="30"/>
      <c r="K63" s="30">
        <f>J62</f>
        <v>4030</v>
      </c>
    </row>
    <row r="64" spans="1:13" ht="15.75" thickBot="1">
      <c r="A64" s="12"/>
      <c r="G64" s="28"/>
      <c r="H64" s="28"/>
      <c r="I64" s="45" t="s">
        <v>63</v>
      </c>
      <c r="J64" s="30"/>
      <c r="K64" s="30"/>
    </row>
    <row r="66" spans="1:11">
      <c r="J66" s="37">
        <f>SUM(J52:J64)</f>
        <v>18250</v>
      </c>
      <c r="K66" s="37">
        <f>SUM(K52:K64)</f>
        <v>18250</v>
      </c>
    </row>
    <row r="68" spans="1:11" ht="31.5">
      <c r="A68" s="11"/>
    </row>
    <row r="69" spans="1:11">
      <c r="A69" s="9" t="s">
        <v>64</v>
      </c>
      <c r="C69" s="39" t="s">
        <v>10</v>
      </c>
    </row>
    <row r="70" spans="1:11">
      <c r="A70" s="9"/>
    </row>
    <row r="71" spans="1:11">
      <c r="A71" s="9"/>
    </row>
    <row r="72" spans="1:11">
      <c r="A72" s="9"/>
    </row>
    <row r="73" spans="1:11">
      <c r="A73" s="9"/>
    </row>
    <row r="77" spans="1:11" ht="31.5">
      <c r="A77" s="11"/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1AAB45-E569-4AD0-B298-FCFABB700038}">
  <sheetPr codeName="Feuil3"/>
  <dimension ref="A1:J35"/>
  <sheetViews>
    <sheetView workbookViewId="0">
      <selection activeCell="D28" sqref="D28"/>
    </sheetView>
  </sheetViews>
  <sheetFormatPr defaultColWidth="11.42578125" defaultRowHeight="15"/>
  <cols>
    <col min="4" max="4" width="43.28515625" customWidth="1"/>
  </cols>
  <sheetData>
    <row r="1" spans="1:10">
      <c r="A1" s="40"/>
      <c r="D1" s="39" t="s">
        <v>65</v>
      </c>
    </row>
    <row r="2" spans="1:10">
      <c r="A2" s="40"/>
    </row>
    <row r="3" spans="1:10" ht="15.75" thickBot="1">
      <c r="A3" s="41" t="s">
        <v>66</v>
      </c>
      <c r="B3" s="25" t="s">
        <v>51</v>
      </c>
      <c r="C3" s="25" t="s">
        <v>52</v>
      </c>
      <c r="D3" s="25" t="s">
        <v>53</v>
      </c>
      <c r="E3" s="26" t="s">
        <v>54</v>
      </c>
      <c r="F3" s="26" t="s">
        <v>55</v>
      </c>
    </row>
    <row r="4" spans="1:10">
      <c r="A4" s="41"/>
      <c r="B4" s="25"/>
      <c r="C4" s="25"/>
      <c r="D4" s="32">
        <f>A5</f>
        <v>46116</v>
      </c>
      <c r="E4" s="26"/>
      <c r="F4" s="26"/>
      <c r="J4">
        <f>100*50</f>
        <v>5000</v>
      </c>
    </row>
    <row r="5" spans="1:10">
      <c r="A5" s="42">
        <v>46116</v>
      </c>
      <c r="B5" s="28">
        <v>607</v>
      </c>
      <c r="C5" s="29"/>
      <c r="D5" s="28" t="s">
        <v>67</v>
      </c>
      <c r="E5" s="30">
        <v>4500</v>
      </c>
      <c r="F5" s="31"/>
      <c r="I5" t="s">
        <v>68</v>
      </c>
      <c r="J5">
        <f>J4*10%</f>
        <v>500</v>
      </c>
    </row>
    <row r="6" spans="1:10">
      <c r="A6" s="43"/>
      <c r="B6" s="28">
        <v>44566</v>
      </c>
      <c r="C6" s="29"/>
      <c r="D6" s="28" t="s">
        <v>69</v>
      </c>
      <c r="E6" s="31">
        <v>900</v>
      </c>
      <c r="F6" s="31"/>
      <c r="J6">
        <f>J4-J5</f>
        <v>4500</v>
      </c>
    </row>
    <row r="7" spans="1:10" ht="15.75" thickBot="1">
      <c r="A7" s="43"/>
      <c r="B7" s="28"/>
      <c r="C7" s="28">
        <v>401</v>
      </c>
      <c r="D7" s="33" t="s">
        <v>70</v>
      </c>
      <c r="E7" s="31"/>
      <c r="F7" s="30">
        <v>5400</v>
      </c>
      <c r="I7" t="s">
        <v>23</v>
      </c>
      <c r="J7">
        <f>J6*20%</f>
        <v>900</v>
      </c>
    </row>
    <row r="8" spans="1:10">
      <c r="A8" s="43"/>
      <c r="B8" s="28"/>
      <c r="C8" s="28"/>
      <c r="D8" s="27">
        <f>A9</f>
        <v>46124</v>
      </c>
      <c r="E8" s="31"/>
      <c r="F8" s="30"/>
      <c r="I8" t="s">
        <v>71</v>
      </c>
      <c r="J8">
        <f>J6+J7</f>
        <v>5400</v>
      </c>
    </row>
    <row r="9" spans="1:10">
      <c r="A9" s="42">
        <v>46124</v>
      </c>
      <c r="B9" s="28">
        <v>401</v>
      </c>
      <c r="C9" s="29"/>
      <c r="D9" s="28" t="s">
        <v>70</v>
      </c>
      <c r="E9" s="31">
        <v>54</v>
      </c>
      <c r="F9" s="31"/>
    </row>
    <row r="10" spans="1:10">
      <c r="A10" s="43"/>
      <c r="B10" s="28"/>
      <c r="C10" s="28">
        <v>765</v>
      </c>
      <c r="D10" s="28" t="s">
        <v>72</v>
      </c>
      <c r="E10" s="31"/>
      <c r="F10" s="31">
        <v>45</v>
      </c>
    </row>
    <row r="11" spans="1:10" ht="15.75" thickBot="1">
      <c r="A11" s="43"/>
      <c r="B11" s="28"/>
      <c r="C11" s="28">
        <v>44566</v>
      </c>
      <c r="D11" s="35" t="s">
        <v>69</v>
      </c>
      <c r="E11" s="31"/>
      <c r="F11" s="31">
        <v>9</v>
      </c>
    </row>
    <row r="12" spans="1:10">
      <c r="A12" s="43"/>
      <c r="B12" s="28"/>
      <c r="C12" s="28"/>
      <c r="D12" s="32">
        <f>A13</f>
        <v>46124</v>
      </c>
      <c r="E12" s="31"/>
      <c r="F12" s="31"/>
    </row>
    <row r="13" spans="1:10">
      <c r="A13" s="42">
        <v>46124</v>
      </c>
      <c r="B13" s="28">
        <v>401</v>
      </c>
      <c r="C13" s="29"/>
      <c r="D13" s="28" t="s">
        <v>70</v>
      </c>
      <c r="E13" s="30">
        <v>5346</v>
      </c>
      <c r="F13" s="31"/>
    </row>
    <row r="14" spans="1:10" ht="15.75" thickBot="1">
      <c r="A14" s="43"/>
      <c r="B14" s="28"/>
      <c r="C14" s="28">
        <v>512</v>
      </c>
      <c r="D14" s="36" t="s">
        <v>73</v>
      </c>
      <c r="E14" s="31"/>
      <c r="F14" s="30">
        <v>5346</v>
      </c>
      <c r="J14">
        <f>200*30</f>
        <v>6000</v>
      </c>
    </row>
    <row r="15" spans="1:10">
      <c r="A15" s="43"/>
      <c r="B15" s="28"/>
      <c r="C15" s="28"/>
      <c r="D15" s="27">
        <f>A16</f>
        <v>46130</v>
      </c>
      <c r="E15" s="31"/>
      <c r="F15" s="30"/>
      <c r="I15" t="s">
        <v>68</v>
      </c>
      <c r="J15">
        <f>J14*10%</f>
        <v>600</v>
      </c>
    </row>
    <row r="16" spans="1:10">
      <c r="A16" s="42">
        <v>46130</v>
      </c>
      <c r="B16" s="28">
        <v>607</v>
      </c>
      <c r="C16" s="29"/>
      <c r="D16" s="28" t="s">
        <v>67</v>
      </c>
      <c r="E16" s="30">
        <v>5400</v>
      </c>
      <c r="F16" s="31"/>
      <c r="J16">
        <f>J14-J15</f>
        <v>5400</v>
      </c>
    </row>
    <row r="17" spans="1:10">
      <c r="A17" s="43"/>
      <c r="B17" s="28">
        <v>44566</v>
      </c>
      <c r="C17" s="29"/>
      <c r="D17" s="28" t="s">
        <v>69</v>
      </c>
      <c r="E17" s="30">
        <v>1069.2</v>
      </c>
      <c r="F17" s="31"/>
      <c r="I17" t="s">
        <v>74</v>
      </c>
      <c r="J17">
        <f>J16/100</f>
        <v>54</v>
      </c>
    </row>
    <row r="18" spans="1:10">
      <c r="A18" s="43"/>
      <c r="B18" s="28"/>
      <c r="C18" s="28">
        <v>765</v>
      </c>
      <c r="D18" s="34" t="s">
        <v>72</v>
      </c>
      <c r="E18" s="31"/>
      <c r="F18" s="31">
        <v>54</v>
      </c>
      <c r="I18" t="s">
        <v>75</v>
      </c>
      <c r="J18">
        <f>J16-J17</f>
        <v>5346</v>
      </c>
    </row>
    <row r="19" spans="1:10" ht="15.75" thickBot="1">
      <c r="A19" s="43"/>
      <c r="B19" s="28"/>
      <c r="C19" s="28">
        <v>401</v>
      </c>
      <c r="D19" s="34" t="s">
        <v>70</v>
      </c>
      <c r="E19" s="31"/>
      <c r="F19" s="30">
        <v>6415.2</v>
      </c>
      <c r="I19" t="s">
        <v>23</v>
      </c>
      <c r="J19">
        <f>J18*20%</f>
        <v>1069.2</v>
      </c>
    </row>
    <row r="20" spans="1:10">
      <c r="A20" s="43"/>
      <c r="B20" s="28"/>
      <c r="C20" s="28"/>
      <c r="D20" s="32">
        <f>A21</f>
        <v>46130</v>
      </c>
      <c r="E20" s="31"/>
      <c r="F20" s="30"/>
      <c r="I20" t="s">
        <v>71</v>
      </c>
      <c r="J20">
        <f>J18+J19</f>
        <v>6415.2</v>
      </c>
    </row>
    <row r="21" spans="1:10">
      <c r="A21" s="42">
        <v>46130</v>
      </c>
      <c r="B21" s="28">
        <v>401</v>
      </c>
      <c r="C21" s="29"/>
      <c r="D21" s="28" t="s">
        <v>70</v>
      </c>
      <c r="E21" s="30">
        <v>6415.2</v>
      </c>
      <c r="F21" s="31"/>
    </row>
    <row r="22" spans="1:10" ht="15.75" thickBot="1">
      <c r="A22" s="43"/>
      <c r="B22" s="28"/>
      <c r="C22" s="28">
        <v>512</v>
      </c>
      <c r="D22" s="36" t="s">
        <v>73</v>
      </c>
      <c r="E22" s="31"/>
      <c r="F22" s="30">
        <v>6415.2</v>
      </c>
      <c r="J22">
        <f>40*30</f>
        <v>1200</v>
      </c>
    </row>
    <row r="23" spans="1:10">
      <c r="A23" s="43"/>
      <c r="B23" s="28"/>
      <c r="C23" s="28"/>
      <c r="D23" s="27">
        <f>A24</f>
        <v>46131</v>
      </c>
      <c r="E23" s="31"/>
      <c r="F23" s="30"/>
      <c r="I23" t="s">
        <v>68</v>
      </c>
      <c r="J23">
        <f>J22*10%</f>
        <v>120</v>
      </c>
    </row>
    <row r="24" spans="1:10">
      <c r="A24" s="42">
        <v>46131</v>
      </c>
      <c r="B24" s="28">
        <v>401</v>
      </c>
      <c r="C24" s="29"/>
      <c r="D24" s="28" t="s">
        <v>70</v>
      </c>
      <c r="E24" s="30">
        <f>J28</f>
        <v>1283.04</v>
      </c>
      <c r="F24" s="31"/>
      <c r="J24">
        <f>J22-J23</f>
        <v>1080</v>
      </c>
    </row>
    <row r="25" spans="1:10">
      <c r="A25" s="42"/>
      <c r="B25" s="28">
        <v>765</v>
      </c>
      <c r="C25" s="29"/>
      <c r="D25" s="28" t="s">
        <v>72</v>
      </c>
      <c r="E25" s="30">
        <f>J25</f>
        <v>10.8</v>
      </c>
      <c r="F25" s="31"/>
      <c r="I25" t="s">
        <v>74</v>
      </c>
      <c r="J25">
        <f>J24/100</f>
        <v>10.8</v>
      </c>
    </row>
    <row r="26" spans="1:10">
      <c r="A26" s="43"/>
      <c r="B26" s="28"/>
      <c r="C26" s="28">
        <v>607</v>
      </c>
      <c r="D26" s="34" t="s">
        <v>67</v>
      </c>
      <c r="E26" s="31"/>
      <c r="F26" s="30">
        <f>J24</f>
        <v>1080</v>
      </c>
      <c r="I26" t="s">
        <v>75</v>
      </c>
      <c r="J26">
        <f>J24-J25</f>
        <v>1069.2</v>
      </c>
    </row>
    <row r="27" spans="1:10" ht="15.75" thickBot="1">
      <c r="A27" s="43"/>
      <c r="B27" s="28"/>
      <c r="C27" s="28">
        <v>44566</v>
      </c>
      <c r="D27" s="34" t="s">
        <v>69</v>
      </c>
      <c r="E27" s="31"/>
      <c r="F27" s="31">
        <f>J27</f>
        <v>213.84000000000003</v>
      </c>
      <c r="I27" t="s">
        <v>23</v>
      </c>
      <c r="J27">
        <f>J26*20%</f>
        <v>213.84000000000003</v>
      </c>
    </row>
    <row r="28" spans="1:10">
      <c r="A28" s="43"/>
      <c r="B28" s="28"/>
      <c r="C28" s="28"/>
      <c r="D28" s="32">
        <f>A29</f>
        <v>46134</v>
      </c>
      <c r="E28" s="31"/>
      <c r="F28" s="31"/>
      <c r="I28" t="s">
        <v>71</v>
      </c>
      <c r="J28">
        <f>J26+J27</f>
        <v>1283.04</v>
      </c>
    </row>
    <row r="29" spans="1:10">
      <c r="A29" s="42">
        <v>46134</v>
      </c>
      <c r="B29" s="28">
        <v>401</v>
      </c>
      <c r="C29" s="29"/>
      <c r="D29" s="28" t="s">
        <v>70</v>
      </c>
      <c r="E29" s="31">
        <f>J35</f>
        <v>102.64320000000001</v>
      </c>
      <c r="F29" s="31"/>
    </row>
    <row r="30" spans="1:10">
      <c r="A30" s="42"/>
      <c r="B30" s="28">
        <v>765</v>
      </c>
      <c r="C30" s="29"/>
      <c r="D30" s="28" t="s">
        <v>72</v>
      </c>
      <c r="E30" s="31">
        <f>J32</f>
        <v>0.8640000000000001</v>
      </c>
      <c r="F30" s="31"/>
    </row>
    <row r="31" spans="1:10">
      <c r="A31" s="43"/>
      <c r="B31" s="28"/>
      <c r="C31" s="28">
        <v>6097</v>
      </c>
      <c r="D31" s="34" t="s">
        <v>76</v>
      </c>
      <c r="E31" s="31"/>
      <c r="F31" s="31">
        <v>86.4</v>
      </c>
      <c r="I31" t="s">
        <v>77</v>
      </c>
      <c r="J31">
        <f>2%*(J16-J24)</f>
        <v>86.4</v>
      </c>
    </row>
    <row r="32" spans="1:10" ht="15.75" thickBot="1">
      <c r="A32" s="43"/>
      <c r="B32" s="28"/>
      <c r="C32" s="28">
        <v>44566</v>
      </c>
      <c r="D32" s="36" t="s">
        <v>69</v>
      </c>
      <c r="E32" s="31"/>
      <c r="F32" s="31">
        <f>J34</f>
        <v>17.107200000000002</v>
      </c>
      <c r="I32" t="s">
        <v>78</v>
      </c>
      <c r="J32">
        <f>J31*1%</f>
        <v>0.8640000000000001</v>
      </c>
    </row>
    <row r="33" spans="5:10">
      <c r="G33">
        <f>E34-F34</f>
        <v>0</v>
      </c>
      <c r="I33" t="s">
        <v>79</v>
      </c>
      <c r="J33">
        <f>J31-J32</f>
        <v>85.536000000000001</v>
      </c>
    </row>
    <row r="34" spans="5:10">
      <c r="E34" s="37">
        <f>SUM(E5:E33)</f>
        <v>25081.747200000002</v>
      </c>
      <c r="F34" s="37">
        <f>SUM(F5:F33)</f>
        <v>25081.747200000002</v>
      </c>
      <c r="I34" t="s">
        <v>23</v>
      </c>
      <c r="J34">
        <f>J33*20%</f>
        <v>17.107200000000002</v>
      </c>
    </row>
    <row r="35" spans="5:10">
      <c r="I35" t="s">
        <v>71</v>
      </c>
      <c r="J35">
        <f>J33+J34</f>
        <v>102.64320000000001</v>
      </c>
    </row>
  </sheetData>
  <pageMargins left="0.7" right="0.7" top="0.75" bottom="0.75" header="0.3" footer="0.3"/>
  <pageSetup paperSize="9" orientation="portrait" horizontalDpi="0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86F7C0A6AE3674E825C7AC188C8DE6A" ma:contentTypeVersion="3" ma:contentTypeDescription="Crée un document." ma:contentTypeScope="" ma:versionID="30668afdb956bdd372dc51a3b1244cd5">
  <xsd:schema xmlns:xsd="http://www.w3.org/2001/XMLSchema" xmlns:xs="http://www.w3.org/2001/XMLSchema" xmlns:p="http://schemas.microsoft.com/office/2006/metadata/properties" xmlns:ns2="1fefe338-39e6-40a0-a717-dffd792596ae" targetNamespace="http://schemas.microsoft.com/office/2006/metadata/properties" ma:root="true" ma:fieldsID="4f15c6b4c27235b0cf9ddac7e2d2c286" ns2:_="">
    <xsd:import namespace="1fefe338-39e6-40a0-a717-dffd792596a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fefe338-39e6-40a0-a717-dffd792596a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177C54C-0B9A-4E01-8E43-4FC95D39F581}"/>
</file>

<file path=customXml/itemProps2.xml><?xml version="1.0" encoding="utf-8"?>
<ds:datastoreItem xmlns:ds="http://schemas.openxmlformats.org/officeDocument/2006/customXml" ds:itemID="{A61D9A5A-4347-47C9-B726-FBE45828E4D3}"/>
</file>

<file path=customXml/itemProps3.xml><?xml version="1.0" encoding="utf-8"?>
<ds:datastoreItem xmlns:ds="http://schemas.openxmlformats.org/officeDocument/2006/customXml" ds:itemID="{5402034B-0674-45A3-972C-FDE5AE2D93E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sinfo</dc:creator>
  <cp:keywords/>
  <dc:description/>
  <cp:lastModifiedBy>Abdeljalil Seklouli</cp:lastModifiedBy>
  <cp:revision/>
  <dcterms:created xsi:type="dcterms:W3CDTF">2023-04-05T09:56:12Z</dcterms:created>
  <dcterms:modified xsi:type="dcterms:W3CDTF">2026-05-30T14:57:16Z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0x010100186F7C0A6AE3674E825C7AC188C8DE6A</vt:lpwstr>
  </property>
</Properties>
</file>