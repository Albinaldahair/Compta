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FSAF\Desktop\"/>
    </mc:Choice>
  </mc:AlternateContent>
  <xr:revisionPtr revIDLastSave="0" documentId="8_{9590C929-B673-4C5B-A1F7-290CC2F060F6}" xr6:coauthVersionLast="36" xr6:coauthVersionMax="36" xr10:uidLastSave="{00000000-0000-0000-0000-000000000000}"/>
  <bookViews>
    <workbookView xWindow="0" yWindow="0" windowWidth="28800" windowHeight="11565" xr2:uid="{BDAFBED4-83F5-4C48-90F7-B043E19E99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1" i="1" l="1"/>
  <c r="F89" i="1"/>
  <c r="J79" i="1"/>
  <c r="F79" i="1"/>
  <c r="I57" i="1"/>
  <c r="I55" i="1"/>
  <c r="I65" i="1" s="1"/>
  <c r="L44" i="1"/>
  <c r="M46" i="1" s="1"/>
  <c r="J46" i="1"/>
  <c r="I44" i="1"/>
  <c r="F61" i="1" s="1"/>
  <c r="H61" i="1" s="1"/>
  <c r="G44" i="1"/>
  <c r="G60" i="1" s="1"/>
  <c r="F44" i="1"/>
  <c r="F60" i="1" s="1"/>
  <c r="H60" i="1" s="1"/>
  <c r="C46" i="1"/>
  <c r="D45" i="1"/>
  <c r="C44" i="1"/>
  <c r="L37" i="1"/>
  <c r="F58" i="1" s="1"/>
  <c r="F37" i="1"/>
  <c r="G39" i="1" s="1"/>
  <c r="D37" i="1"/>
  <c r="C39" i="1" s="1"/>
  <c r="E29" i="1"/>
  <c r="J26" i="1"/>
  <c r="D44" i="1" s="1"/>
  <c r="D46" i="1" s="1"/>
  <c r="G59" i="1" s="1"/>
  <c r="G65" i="1" s="1"/>
  <c r="J23" i="1"/>
  <c r="P41" i="1" s="1"/>
  <c r="O43" i="1" s="1"/>
  <c r="J20" i="1"/>
  <c r="J37" i="1" s="1"/>
  <c r="I39" i="1" s="1"/>
  <c r="D48" i="1" l="1"/>
  <c r="H59" i="1" s="1"/>
  <c r="H58" i="1"/>
  <c r="M39" i="1"/>
  <c r="J72" i="1"/>
  <c r="G46" i="1"/>
  <c r="F59" i="1"/>
  <c r="F65" i="1" s="1"/>
  <c r="H65" i="1" l="1"/>
  <c r="F75" i="1"/>
</calcChain>
</file>

<file path=xl/sharedStrings.xml><?xml version="1.0" encoding="utf-8"?>
<sst xmlns="http://schemas.openxmlformats.org/spreadsheetml/2006/main" count="84" uniqueCount="72">
  <si>
    <t>1) Le journal</t>
  </si>
  <si>
    <t>Capital (passif) crédit + Banque (Actif) débit</t>
  </si>
  <si>
    <t>Banque</t>
  </si>
  <si>
    <t xml:space="preserve">               Capital</t>
  </si>
  <si>
    <t>Achat de marchandises (charge) débit + dettes fournisseurs (passif) crédit</t>
  </si>
  <si>
    <t>Achat de marchandises</t>
  </si>
  <si>
    <t>Fournisseurs</t>
  </si>
  <si>
    <t xml:space="preserve">               Fournisseurs</t>
  </si>
  <si>
    <t>Vente de marchandises (produits) crédit + Créances clients (actif) débit</t>
  </si>
  <si>
    <t>Clients</t>
  </si>
  <si>
    <t>Ventes de marchandises</t>
  </si>
  <si>
    <t>Banque (actif) cédit  + Compte postal (actif) débit</t>
  </si>
  <si>
    <t xml:space="preserve">Chèque postaux </t>
  </si>
  <si>
    <t xml:space="preserve">                Banque</t>
  </si>
  <si>
    <t>Prime assurance (charge) débit + chèque postaux (actif) crédit</t>
  </si>
  <si>
    <t>Prime assurance</t>
  </si>
  <si>
    <t>Matériel de transport (actif) débit + Banque (actif) crédit</t>
  </si>
  <si>
    <t>Mat de transport</t>
  </si>
  <si>
    <t>2) Le grand livre</t>
  </si>
  <si>
    <t>S. créditeur</t>
  </si>
  <si>
    <t>D            2182             C</t>
  </si>
  <si>
    <t>S. Débiteur</t>
  </si>
  <si>
    <t>D            401                C</t>
  </si>
  <si>
    <t>D            411                C</t>
  </si>
  <si>
    <t>D            514               C</t>
  </si>
  <si>
    <t>D            607                C</t>
  </si>
  <si>
    <t>D            616               C</t>
  </si>
  <si>
    <t>D            707                C</t>
  </si>
  <si>
    <t>3) La balance</t>
  </si>
  <si>
    <t>N° Compte</t>
  </si>
  <si>
    <t>Intitulés</t>
  </si>
  <si>
    <t>Mouvements</t>
  </si>
  <si>
    <t>Soldes</t>
  </si>
  <si>
    <t>Débit</t>
  </si>
  <si>
    <t>Crédit</t>
  </si>
  <si>
    <t>débiteur</t>
  </si>
  <si>
    <t>créditeur</t>
  </si>
  <si>
    <t>D            101           C</t>
  </si>
  <si>
    <t>D            512           C</t>
  </si>
  <si>
    <t>Capital</t>
  </si>
  <si>
    <t>Matériel de transport</t>
  </si>
  <si>
    <t>Chèques postaux</t>
  </si>
  <si>
    <t>Prime d'assurance</t>
  </si>
  <si>
    <t>Vente de marchandises</t>
  </si>
  <si>
    <t>Total</t>
  </si>
  <si>
    <t>Dans la balance : Total des mouvements débit = Total des mouvements crédit</t>
  </si>
  <si>
    <t>Total des soldes débiteurs = total des soldes créditeurs</t>
  </si>
  <si>
    <t>Actif</t>
  </si>
  <si>
    <t>Montant</t>
  </si>
  <si>
    <t>Passif</t>
  </si>
  <si>
    <t>Capitaux propres</t>
  </si>
  <si>
    <t xml:space="preserve">     Capital </t>
  </si>
  <si>
    <t>Actif immobilisé</t>
  </si>
  <si>
    <t xml:space="preserve">            Matériel de transport</t>
  </si>
  <si>
    <t>Dettes</t>
  </si>
  <si>
    <t xml:space="preserve">      Dettes fournisseurs </t>
  </si>
  <si>
    <t>Actif circulant</t>
  </si>
  <si>
    <t xml:space="preserve">      Créances clients</t>
  </si>
  <si>
    <t xml:space="preserve">      Banque</t>
  </si>
  <si>
    <t xml:space="preserve">      Chèques postaux</t>
  </si>
  <si>
    <t>Total actif</t>
  </si>
  <si>
    <t>Total passif</t>
  </si>
  <si>
    <t>4) Bilan au 31/12/N</t>
  </si>
  <si>
    <t xml:space="preserve">      Résultat  (bénéfice)</t>
  </si>
  <si>
    <t>5) Le compte de résultat</t>
  </si>
  <si>
    <t>Produits d'exploitation</t>
  </si>
  <si>
    <t xml:space="preserve">       Ventes de marchandises</t>
  </si>
  <si>
    <t>Charges d'exploitation</t>
  </si>
  <si>
    <t xml:space="preserve">      Achat de marchandises</t>
  </si>
  <si>
    <t xml:space="preserve">      Prime d'assurance</t>
  </si>
  <si>
    <t>Résultat d'exploitation</t>
  </si>
  <si>
    <t>Résultat de l'exercice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</si>
</sst>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/>
    <xf numFmtId="3" fontId="4" fillId="0" borderId="0" xfId="0" applyNumberFormat="1" applyFont="1"/>
    <xf numFmtId="0" fontId="4" fillId="2" borderId="1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left"/>
    </xf>
    <xf numFmtId="3" fontId="4" fillId="0" borderId="4" xfId="0" applyNumberFormat="1" applyFont="1" applyBorder="1"/>
    <xf numFmtId="0" fontId="4" fillId="0" borderId="7" xfId="0" applyFont="1" applyBorder="1"/>
    <xf numFmtId="3" fontId="4" fillId="0" borderId="5" xfId="0" applyNumberFormat="1" applyFont="1" applyBorder="1"/>
    <xf numFmtId="3" fontId="4" fillId="0" borderId="3" xfId="0" applyNumberFormat="1" applyFont="1" applyBorder="1"/>
    <xf numFmtId="0" fontId="4" fillId="0" borderId="8" xfId="0" applyFont="1" applyBorder="1"/>
    <xf numFmtId="3" fontId="4" fillId="0" borderId="6" xfId="0" applyNumberFormat="1" applyFont="1" applyBorder="1"/>
    <xf numFmtId="3" fontId="4" fillId="0" borderId="8" xfId="0" applyNumberFormat="1" applyFont="1" applyBorder="1"/>
    <xf numFmtId="0" fontId="2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3" fontId="2" fillId="0" borderId="9" xfId="0" applyNumberFormat="1" applyFont="1" applyBorder="1"/>
    <xf numFmtId="0" fontId="1" fillId="0" borderId="9" xfId="0" applyFont="1" applyBorder="1"/>
    <xf numFmtId="0" fontId="3" fillId="0" borderId="9" xfId="0" applyFont="1" applyBorder="1" applyAlignment="1">
      <alignment horizontal="left"/>
    </xf>
    <xf numFmtId="3" fontId="1" fillId="0" borderId="9" xfId="0" applyNumberFormat="1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3" fontId="0" fillId="0" borderId="11" xfId="0" applyNumberFormat="1" applyBorder="1"/>
    <xf numFmtId="3" fontId="0" fillId="0" borderId="10" xfId="0" applyNumberFormat="1" applyBorder="1"/>
    <xf numFmtId="0" fontId="1" fillId="0" borderId="11" xfId="0" applyFont="1" applyBorder="1" applyAlignment="1">
      <alignment horizontal="left"/>
    </xf>
    <xf numFmtId="3" fontId="0" fillId="0" borderId="0" xfId="0" applyNumberFormat="1"/>
    <xf numFmtId="3" fontId="0" fillId="2" borderId="11" xfId="0" applyNumberFormat="1" applyFill="1" applyBorder="1"/>
    <xf numFmtId="3" fontId="1" fillId="0" borderId="11" xfId="0" applyNumberFormat="1" applyFont="1" applyBorder="1"/>
    <xf numFmtId="3" fontId="1" fillId="2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562798</xdr:colOff>
      <xdr:row>12</xdr:row>
      <xdr:rowOff>143214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B4190D-C333-475A-90AC-779FDB23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96798" cy="2429214"/>
        </a:xfrm>
        <a:prstGeom prst="rect">
          <a:avLst/>
        </a:prstGeom>
      </xdr:spPr>
    </xdr:pic>
    <xdr:clientData/>
  </xdr:twoCellAnchor>
  <xdr:twoCellAnchor>
    <xdr:from>
      <xdr:col>5</xdr:col>
      <xdr:colOff>689162</xdr:colOff>
      <xdr:row>72</xdr:row>
      <xdr:rowOff>151280</xdr:rowOff>
    </xdr:from>
    <xdr:to>
      <xdr:col>9</xdr:col>
      <xdr:colOff>341779</xdr:colOff>
      <xdr:row>90</xdr:row>
      <xdr:rowOff>44824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224B25D3-02B7-4AC2-BEA4-C484328B093F}"/>
            </a:ext>
          </a:extLst>
        </xdr:cNvPr>
        <xdr:cNvCxnSpPr/>
      </xdr:nvCxnSpPr>
      <xdr:spPr>
        <a:xfrm flipV="1">
          <a:off x="4499162" y="15945971"/>
          <a:ext cx="2700617" cy="33225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C2CE-774B-4468-8254-587AE4CE2B14}">
  <dimension ref="A6:P91"/>
  <sheetViews>
    <sheetView tabSelected="1" topLeftCell="A80" zoomScale="170" zoomScaleNormal="170" workbookViewId="0">
      <selection activeCell="M86" sqref="M86"/>
    </sheetView>
  </sheetViews>
  <sheetFormatPr baseColWidth="10" defaultRowHeight="15" x14ac:dyDescent="0.25"/>
  <sheetData>
    <row r="6" spans="1:16" x14ac:dyDescent="0.25">
      <c r="J6" t="s">
        <v>1</v>
      </c>
    </row>
    <row r="7" spans="1:16" x14ac:dyDescent="0.25">
      <c r="J7" t="s">
        <v>4</v>
      </c>
    </row>
    <row r="8" spans="1:16" x14ac:dyDescent="0.25">
      <c r="J8" t="s">
        <v>8</v>
      </c>
    </row>
    <row r="9" spans="1:16" x14ac:dyDescent="0.25">
      <c r="J9" t="s">
        <v>11</v>
      </c>
    </row>
    <row r="10" spans="1:16" x14ac:dyDescent="0.25">
      <c r="J10" t="s">
        <v>14</v>
      </c>
    </row>
    <row r="11" spans="1:16" x14ac:dyDescent="0.25">
      <c r="J11" t="s">
        <v>16</v>
      </c>
    </row>
    <row r="14" spans="1:16" ht="16.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8.75" x14ac:dyDescent="0.3">
      <c r="A15" s="3" t="s">
        <v>0</v>
      </c>
      <c r="B15" s="2"/>
      <c r="C15" s="4"/>
      <c r="D15" s="4"/>
      <c r="E15" s="5">
        <v>1</v>
      </c>
      <c r="F15" s="5"/>
      <c r="G15" s="5"/>
      <c r="H15" s="5"/>
      <c r="I15" s="6"/>
      <c r="J15" s="6"/>
      <c r="K15" s="2"/>
      <c r="L15" s="2"/>
      <c r="M15" s="2"/>
      <c r="N15" s="2"/>
      <c r="O15" s="2"/>
      <c r="P15" s="2"/>
    </row>
    <row r="16" spans="1:16" ht="18.75" x14ac:dyDescent="0.3">
      <c r="A16" s="2"/>
      <c r="B16" s="2"/>
      <c r="C16" s="11">
        <v>512</v>
      </c>
      <c r="D16" s="4"/>
      <c r="E16" s="7" t="s">
        <v>2</v>
      </c>
      <c r="F16" s="7"/>
      <c r="G16" s="7"/>
      <c r="H16" s="7"/>
      <c r="I16" s="6">
        <v>30000</v>
      </c>
      <c r="J16" s="6"/>
      <c r="K16" s="2"/>
      <c r="L16" s="2"/>
      <c r="M16" s="2"/>
      <c r="N16" s="2"/>
      <c r="O16" s="2"/>
      <c r="P16" s="2"/>
    </row>
    <row r="17" spans="1:16" ht="19.5" thickBot="1" x14ac:dyDescent="0.35">
      <c r="A17" s="2"/>
      <c r="B17" s="2"/>
      <c r="C17" s="4"/>
      <c r="D17" s="11">
        <v>101</v>
      </c>
      <c r="E17" s="7" t="s">
        <v>3</v>
      </c>
      <c r="F17" s="7"/>
      <c r="G17" s="7"/>
      <c r="H17" s="7"/>
      <c r="I17" s="6"/>
      <c r="J17" s="6">
        <v>30000</v>
      </c>
      <c r="K17" s="2"/>
      <c r="L17" s="2"/>
      <c r="M17" s="2"/>
      <c r="N17" s="2"/>
      <c r="O17" s="2"/>
      <c r="P17" s="2"/>
    </row>
    <row r="18" spans="1:16" ht="18.75" x14ac:dyDescent="0.3">
      <c r="A18" s="2"/>
      <c r="B18" s="2"/>
      <c r="C18" s="4"/>
      <c r="D18" s="4"/>
      <c r="E18" s="5">
        <v>2</v>
      </c>
      <c r="F18" s="5"/>
      <c r="G18" s="5"/>
      <c r="H18" s="5"/>
      <c r="I18" s="6"/>
      <c r="J18" s="6"/>
      <c r="K18" s="2"/>
      <c r="L18" s="2"/>
      <c r="M18" s="2"/>
      <c r="N18" s="2"/>
      <c r="O18" s="2"/>
      <c r="P18" s="2"/>
    </row>
    <row r="19" spans="1:16" ht="18.75" x14ac:dyDescent="0.3">
      <c r="A19" s="2"/>
      <c r="B19" s="2"/>
      <c r="C19" s="11">
        <v>607</v>
      </c>
      <c r="D19" s="4"/>
      <c r="E19" s="7" t="s">
        <v>5</v>
      </c>
      <c r="F19" s="7"/>
      <c r="G19" s="7"/>
      <c r="H19" s="7"/>
      <c r="I19" s="6">
        <v>9200</v>
      </c>
      <c r="J19" s="6"/>
      <c r="K19" s="2"/>
      <c r="L19" s="2"/>
      <c r="M19" s="2"/>
      <c r="N19" s="2"/>
      <c r="O19" s="2"/>
      <c r="P19" s="2"/>
    </row>
    <row r="20" spans="1:16" ht="19.5" thickBot="1" x14ac:dyDescent="0.35">
      <c r="A20" s="2"/>
      <c r="B20" s="2"/>
      <c r="C20" s="4"/>
      <c r="D20" s="11">
        <v>401</v>
      </c>
      <c r="E20" s="7" t="s">
        <v>7</v>
      </c>
      <c r="F20" s="7"/>
      <c r="G20" s="7"/>
      <c r="H20" s="7"/>
      <c r="I20" s="6"/>
      <c r="J20" s="6">
        <f>I19</f>
        <v>9200</v>
      </c>
      <c r="K20" s="2"/>
      <c r="L20" s="2"/>
      <c r="M20" s="2"/>
      <c r="N20" s="2"/>
      <c r="O20" s="2"/>
      <c r="P20" s="2"/>
    </row>
    <row r="21" spans="1:16" ht="18.75" x14ac:dyDescent="0.3">
      <c r="A21" s="2"/>
      <c r="B21" s="2"/>
      <c r="C21" s="4"/>
      <c r="D21" s="4"/>
      <c r="E21" s="5">
        <v>3</v>
      </c>
      <c r="F21" s="5"/>
      <c r="G21" s="5"/>
      <c r="H21" s="5"/>
      <c r="I21" s="6"/>
      <c r="J21" s="6"/>
      <c r="K21" s="2"/>
      <c r="L21" s="2"/>
      <c r="M21" s="2"/>
      <c r="N21" s="2"/>
      <c r="O21" s="2"/>
      <c r="P21" s="2"/>
    </row>
    <row r="22" spans="1:16" ht="18.75" x14ac:dyDescent="0.3">
      <c r="A22" s="2"/>
      <c r="B22" s="2"/>
      <c r="C22" s="11">
        <v>411</v>
      </c>
      <c r="D22" s="4"/>
      <c r="E22" s="7" t="s">
        <v>9</v>
      </c>
      <c r="F22" s="7"/>
      <c r="G22" s="7"/>
      <c r="H22" s="7"/>
      <c r="I22" s="6">
        <v>10400</v>
      </c>
      <c r="J22" s="6"/>
      <c r="K22" s="2"/>
      <c r="L22" s="2"/>
      <c r="M22" s="2"/>
      <c r="N22" s="2"/>
      <c r="O22" s="2"/>
      <c r="P22" s="2"/>
    </row>
    <row r="23" spans="1:16" ht="19.5" thickBot="1" x14ac:dyDescent="0.35">
      <c r="A23" s="2"/>
      <c r="B23" s="2"/>
      <c r="C23" s="4"/>
      <c r="D23" s="4">
        <v>707</v>
      </c>
      <c r="E23" s="8" t="s">
        <v>10</v>
      </c>
      <c r="F23" s="8"/>
      <c r="G23" s="8"/>
      <c r="H23" s="8"/>
      <c r="I23" s="6"/>
      <c r="J23" s="6">
        <f>I22</f>
        <v>10400</v>
      </c>
      <c r="K23" s="2"/>
      <c r="L23" s="2"/>
      <c r="M23" s="2"/>
      <c r="N23" s="2"/>
      <c r="O23" s="2"/>
      <c r="P23" s="2"/>
    </row>
    <row r="24" spans="1:16" ht="18.75" x14ac:dyDescent="0.3">
      <c r="A24" s="2"/>
      <c r="B24" s="2"/>
      <c r="C24" s="4"/>
      <c r="D24" s="4"/>
      <c r="E24" s="5">
        <v>4</v>
      </c>
      <c r="F24" s="5"/>
      <c r="G24" s="5"/>
      <c r="H24" s="5"/>
      <c r="I24" s="6"/>
      <c r="J24" s="6"/>
      <c r="K24" s="2"/>
      <c r="L24" s="2"/>
      <c r="M24" s="2"/>
      <c r="N24" s="2"/>
      <c r="O24" s="2"/>
      <c r="P24" s="2"/>
    </row>
    <row r="25" spans="1:16" ht="18.75" x14ac:dyDescent="0.3">
      <c r="A25" s="2"/>
      <c r="B25" s="2"/>
      <c r="C25" s="11">
        <v>514</v>
      </c>
      <c r="D25" s="4"/>
      <c r="E25" s="7" t="s">
        <v>12</v>
      </c>
      <c r="F25" s="7"/>
      <c r="G25" s="7"/>
      <c r="H25" s="7"/>
      <c r="I25" s="6">
        <v>1000</v>
      </c>
      <c r="J25" s="6"/>
      <c r="K25" s="2"/>
      <c r="L25" s="2"/>
      <c r="M25" s="2"/>
      <c r="N25" s="2"/>
      <c r="O25" s="2"/>
      <c r="P25" s="2"/>
    </row>
    <row r="26" spans="1:16" ht="19.5" thickBot="1" x14ac:dyDescent="0.35">
      <c r="A26" s="2"/>
      <c r="B26" s="2"/>
      <c r="C26" s="4"/>
      <c r="D26" s="11">
        <v>512</v>
      </c>
      <c r="E26" s="7" t="s">
        <v>13</v>
      </c>
      <c r="F26" s="7"/>
      <c r="G26" s="7"/>
      <c r="H26" s="7"/>
      <c r="I26" s="6"/>
      <c r="J26" s="6">
        <f>I25</f>
        <v>1000</v>
      </c>
      <c r="K26" s="2"/>
      <c r="L26" s="2"/>
      <c r="M26" s="2"/>
      <c r="N26" s="2"/>
      <c r="O26" s="2"/>
      <c r="P26" s="2"/>
    </row>
    <row r="27" spans="1:16" ht="18.75" x14ac:dyDescent="0.3">
      <c r="A27" s="2"/>
      <c r="B27" s="2"/>
      <c r="C27" s="4"/>
      <c r="D27" s="4"/>
      <c r="E27" s="5">
        <v>5</v>
      </c>
      <c r="F27" s="5"/>
      <c r="G27" s="5"/>
      <c r="H27" s="5"/>
      <c r="I27" s="6"/>
      <c r="J27" s="6"/>
      <c r="K27" s="2"/>
      <c r="L27" s="2"/>
      <c r="M27" s="2"/>
      <c r="N27" s="2"/>
      <c r="O27" s="2"/>
      <c r="P27" s="2"/>
    </row>
    <row r="28" spans="1:16" ht="18.75" x14ac:dyDescent="0.3">
      <c r="A28" s="2"/>
      <c r="B28" s="2"/>
      <c r="C28" s="11">
        <v>616</v>
      </c>
      <c r="D28" s="4"/>
      <c r="E28" s="7" t="s">
        <v>15</v>
      </c>
      <c r="F28" s="7"/>
      <c r="G28" s="7"/>
      <c r="H28" s="7"/>
      <c r="I28" s="6">
        <v>50</v>
      </c>
      <c r="J28" s="6"/>
      <c r="K28" s="2"/>
      <c r="L28" s="2"/>
      <c r="M28" s="2"/>
      <c r="N28" s="2"/>
      <c r="O28" s="2"/>
      <c r="P28" s="2"/>
    </row>
    <row r="29" spans="1:16" ht="19.5" thickBot="1" x14ac:dyDescent="0.35">
      <c r="A29" s="2"/>
      <c r="B29" s="2"/>
      <c r="C29" s="4"/>
      <c r="D29" s="11">
        <v>514</v>
      </c>
      <c r="E29" s="8" t="str">
        <f>E25</f>
        <v xml:space="preserve">Chèque postaux </v>
      </c>
      <c r="F29" s="8"/>
      <c r="G29" s="8"/>
      <c r="H29" s="8"/>
      <c r="I29" s="6"/>
      <c r="J29" s="6">
        <v>50</v>
      </c>
      <c r="K29" s="2"/>
      <c r="L29" s="2"/>
      <c r="M29" s="2"/>
      <c r="N29" s="2"/>
      <c r="O29" s="2"/>
      <c r="P29" s="2"/>
    </row>
    <row r="30" spans="1:16" ht="18.75" x14ac:dyDescent="0.3">
      <c r="A30" s="2"/>
      <c r="B30" s="2"/>
      <c r="C30" s="4"/>
      <c r="D30" s="4"/>
      <c r="E30" s="5">
        <v>6</v>
      </c>
      <c r="F30" s="5"/>
      <c r="G30" s="5"/>
      <c r="H30" s="5"/>
      <c r="I30" s="6"/>
      <c r="J30" s="6"/>
      <c r="K30" s="2"/>
      <c r="L30" s="2"/>
      <c r="M30" s="2"/>
      <c r="N30" s="2"/>
      <c r="O30" s="2"/>
      <c r="P30" s="2"/>
    </row>
    <row r="31" spans="1:16" ht="18.75" x14ac:dyDescent="0.3">
      <c r="A31" s="2"/>
      <c r="B31" s="2"/>
      <c r="C31" s="11">
        <v>2182</v>
      </c>
      <c r="D31" s="4"/>
      <c r="E31" s="7" t="s">
        <v>17</v>
      </c>
      <c r="F31" s="7"/>
      <c r="G31" s="7"/>
      <c r="H31" s="7"/>
      <c r="I31" s="6">
        <v>11000</v>
      </c>
      <c r="J31" s="6"/>
      <c r="K31" s="2"/>
      <c r="L31" s="2"/>
      <c r="M31" s="2"/>
      <c r="N31" s="2"/>
      <c r="O31" s="2"/>
      <c r="P31" s="2"/>
    </row>
    <row r="32" spans="1:16" ht="19.5" thickBot="1" x14ac:dyDescent="0.35">
      <c r="A32" s="2"/>
      <c r="B32" s="2"/>
      <c r="C32" s="4"/>
      <c r="D32" s="11">
        <v>512</v>
      </c>
      <c r="E32" s="8" t="s">
        <v>2</v>
      </c>
      <c r="F32" s="8"/>
      <c r="G32" s="8"/>
      <c r="H32" s="8"/>
      <c r="I32" s="6"/>
      <c r="J32" s="6">
        <v>11000</v>
      </c>
      <c r="K32" s="2"/>
      <c r="L32" s="2"/>
      <c r="M32" s="2"/>
      <c r="N32" s="2"/>
      <c r="O32" s="2"/>
      <c r="P32" s="2"/>
    </row>
    <row r="33" spans="1:16" ht="18.75" x14ac:dyDescent="0.3">
      <c r="A33" s="2"/>
      <c r="B33" s="2"/>
      <c r="C33" s="4"/>
      <c r="D33" s="4"/>
      <c r="E33" s="5"/>
      <c r="F33" s="5"/>
      <c r="G33" s="5"/>
      <c r="H33" s="5"/>
      <c r="I33" s="6"/>
      <c r="J33" s="6"/>
      <c r="K33" s="2"/>
      <c r="L33" s="2"/>
      <c r="M33" s="2"/>
      <c r="N33" s="2"/>
      <c r="O33" s="2"/>
      <c r="P33" s="2"/>
    </row>
    <row r="34" spans="1:16" ht="18.75" x14ac:dyDescent="0.3">
      <c r="A34" s="3" t="s">
        <v>18</v>
      </c>
      <c r="B34" s="2"/>
      <c r="C34" s="9"/>
      <c r="D34" s="9"/>
      <c r="E34" s="9"/>
      <c r="F34" s="9"/>
      <c r="G34" s="9"/>
      <c r="H34" s="9"/>
      <c r="I34" s="10"/>
      <c r="J34" s="10"/>
      <c r="K34" s="2"/>
      <c r="L34" s="2"/>
      <c r="M34" s="2"/>
      <c r="N34" s="2"/>
      <c r="O34" s="2"/>
      <c r="P34" s="2"/>
    </row>
    <row r="35" spans="1:16" ht="18.75" x14ac:dyDescent="0.3">
      <c r="A35" s="2"/>
      <c r="B35" s="2"/>
      <c r="C35" s="9"/>
      <c r="D35" s="9"/>
      <c r="E35" s="9"/>
      <c r="F35" s="9"/>
      <c r="G35" s="9"/>
      <c r="H35" s="9"/>
      <c r="I35" s="10"/>
      <c r="J35" s="10"/>
      <c r="K35" s="2"/>
      <c r="L35" s="2"/>
      <c r="M35" s="2"/>
      <c r="N35" s="2"/>
      <c r="O35" s="2"/>
      <c r="P35" s="2"/>
    </row>
    <row r="36" spans="1:16" ht="19.5" thickBot="1" x14ac:dyDescent="0.35">
      <c r="A36" s="2"/>
      <c r="B36" s="2"/>
      <c r="C36" s="16" t="s">
        <v>37</v>
      </c>
      <c r="D36" s="16"/>
      <c r="E36" s="9"/>
      <c r="F36" s="16" t="s">
        <v>20</v>
      </c>
      <c r="G36" s="16"/>
      <c r="H36" s="2"/>
      <c r="I36" s="16" t="s">
        <v>22</v>
      </c>
      <c r="J36" s="16"/>
      <c r="K36" s="2"/>
      <c r="L36" s="16" t="s">
        <v>23</v>
      </c>
      <c r="M36" s="16"/>
      <c r="N36" s="2"/>
      <c r="O36" s="2"/>
      <c r="P36" s="2"/>
    </row>
    <row r="37" spans="1:16" ht="19.5" thickTop="1" x14ac:dyDescent="0.3">
      <c r="A37" s="2"/>
      <c r="B37" s="2"/>
      <c r="C37" s="12"/>
      <c r="D37" s="17">
        <f>J17</f>
        <v>30000</v>
      </c>
      <c r="E37" s="9"/>
      <c r="F37" s="20">
        <f>I31</f>
        <v>11000</v>
      </c>
      <c r="G37" s="13"/>
      <c r="H37" s="2"/>
      <c r="I37" s="12"/>
      <c r="J37" s="17">
        <f>J20</f>
        <v>9200</v>
      </c>
      <c r="K37" s="2"/>
      <c r="L37" s="20">
        <f>I22</f>
        <v>10400</v>
      </c>
      <c r="M37" s="13"/>
      <c r="N37" s="2"/>
      <c r="O37" s="2"/>
      <c r="P37" s="2"/>
    </row>
    <row r="38" spans="1:16" ht="19.5" thickBot="1" x14ac:dyDescent="0.35">
      <c r="A38" s="2"/>
      <c r="B38" s="2"/>
      <c r="C38" s="18"/>
      <c r="D38" s="15"/>
      <c r="E38" s="9"/>
      <c r="F38" s="14"/>
      <c r="G38" s="21"/>
      <c r="H38" s="2"/>
      <c r="I38" s="14"/>
      <c r="J38" s="15"/>
      <c r="K38" s="2"/>
      <c r="L38" s="14"/>
      <c r="M38" s="21"/>
      <c r="N38" s="2"/>
      <c r="O38" s="2"/>
      <c r="P38" s="2"/>
    </row>
    <row r="39" spans="1:16" ht="19.5" thickTop="1" x14ac:dyDescent="0.3">
      <c r="A39" s="2"/>
      <c r="B39" s="2"/>
      <c r="C39" s="19">
        <f>D37</f>
        <v>30000</v>
      </c>
      <c r="D39" s="15"/>
      <c r="E39" s="9"/>
      <c r="F39" s="14"/>
      <c r="G39" s="22">
        <f>F37</f>
        <v>11000</v>
      </c>
      <c r="H39" s="2"/>
      <c r="I39" s="20">
        <f>J37</f>
        <v>9200</v>
      </c>
      <c r="J39" s="15"/>
      <c r="K39" s="2"/>
      <c r="L39" s="14"/>
      <c r="M39" s="22">
        <f>L37</f>
        <v>10400</v>
      </c>
      <c r="N39" s="2"/>
      <c r="O39" s="2"/>
      <c r="P39" s="2"/>
    </row>
    <row r="40" spans="1:16" ht="19.5" thickBot="1" x14ac:dyDescent="0.35">
      <c r="A40" s="2"/>
      <c r="B40" s="2"/>
      <c r="C40" s="14" t="s">
        <v>19</v>
      </c>
      <c r="D40" s="15"/>
      <c r="E40" s="9"/>
      <c r="F40" s="14"/>
      <c r="G40" s="15" t="s">
        <v>21</v>
      </c>
      <c r="H40" s="2"/>
      <c r="I40" s="14" t="s">
        <v>19</v>
      </c>
      <c r="J40" s="15"/>
      <c r="K40" s="2"/>
      <c r="L40" s="14"/>
      <c r="M40" s="15" t="s">
        <v>21</v>
      </c>
      <c r="N40" s="2"/>
      <c r="O40" s="16" t="s">
        <v>27</v>
      </c>
      <c r="P40" s="16"/>
    </row>
    <row r="41" spans="1:16" ht="19.5" thickTop="1" x14ac:dyDescent="0.3">
      <c r="A41" s="2"/>
      <c r="B41" s="2"/>
      <c r="C41" s="9"/>
      <c r="D41" s="9"/>
      <c r="E41" s="9"/>
      <c r="F41" s="9"/>
      <c r="G41" s="9"/>
      <c r="H41" s="9"/>
      <c r="I41" s="9"/>
      <c r="J41" s="9"/>
      <c r="K41" s="2"/>
      <c r="L41" s="2"/>
      <c r="M41" s="2"/>
      <c r="N41" s="2"/>
      <c r="O41" s="12"/>
      <c r="P41" s="17">
        <f>J23</f>
        <v>10400</v>
      </c>
    </row>
    <row r="42" spans="1:16" ht="19.5" thickBot="1" x14ac:dyDescent="0.35">
      <c r="A42" s="2"/>
      <c r="B42" s="2"/>
      <c r="C42" s="9"/>
      <c r="D42" s="9"/>
      <c r="E42" s="9"/>
      <c r="F42" s="9"/>
      <c r="G42" s="9"/>
      <c r="H42" s="9"/>
      <c r="I42" s="9"/>
      <c r="J42" s="9"/>
      <c r="K42" s="2"/>
      <c r="L42" s="2"/>
      <c r="M42" s="2"/>
      <c r="N42" s="2"/>
      <c r="O42" s="14"/>
      <c r="P42" s="15"/>
    </row>
    <row r="43" spans="1:16" ht="20.25" thickTop="1" thickBot="1" x14ac:dyDescent="0.35">
      <c r="A43" s="2"/>
      <c r="B43" s="2"/>
      <c r="C43" s="16" t="s">
        <v>38</v>
      </c>
      <c r="D43" s="16"/>
      <c r="E43" s="9"/>
      <c r="F43" s="16" t="s">
        <v>24</v>
      </c>
      <c r="G43" s="16"/>
      <c r="H43" s="9"/>
      <c r="I43" s="16" t="s">
        <v>25</v>
      </c>
      <c r="J43" s="16"/>
      <c r="K43" s="2"/>
      <c r="L43" s="16" t="s">
        <v>26</v>
      </c>
      <c r="M43" s="16"/>
      <c r="N43" s="2"/>
      <c r="O43" s="20">
        <f>P41</f>
        <v>10400</v>
      </c>
      <c r="P43" s="15"/>
    </row>
    <row r="44" spans="1:16" ht="19.5" thickTop="1" x14ac:dyDescent="0.3">
      <c r="A44" s="2"/>
      <c r="B44" s="2"/>
      <c r="C44" s="20">
        <f>I16</f>
        <v>30000</v>
      </c>
      <c r="D44" s="17">
        <f>J26</f>
        <v>1000</v>
      </c>
      <c r="E44" s="9"/>
      <c r="F44" s="20">
        <f>I25</f>
        <v>1000</v>
      </c>
      <c r="G44" s="17">
        <f>J29</f>
        <v>50</v>
      </c>
      <c r="H44" s="9"/>
      <c r="I44" s="20">
        <f>I19</f>
        <v>9200</v>
      </c>
      <c r="J44" s="13"/>
      <c r="K44" s="2"/>
      <c r="L44" s="20">
        <f>I28</f>
        <v>50</v>
      </c>
      <c r="M44" s="13"/>
      <c r="N44" s="2"/>
      <c r="O44" s="14" t="s">
        <v>19</v>
      </c>
      <c r="P44" s="15"/>
    </row>
    <row r="45" spans="1:16" ht="19.5" thickBot="1" x14ac:dyDescent="0.35">
      <c r="A45" s="2"/>
      <c r="B45" s="2"/>
      <c r="C45" s="18"/>
      <c r="D45" s="23">
        <f>J32</f>
        <v>11000</v>
      </c>
      <c r="E45" s="9"/>
      <c r="F45" s="14"/>
      <c r="G45" s="21"/>
      <c r="H45" s="9"/>
      <c r="I45" s="14"/>
      <c r="J45" s="21"/>
      <c r="K45" s="2"/>
      <c r="L45" s="14"/>
      <c r="M45" s="21"/>
      <c r="N45" s="2"/>
      <c r="O45" s="2"/>
      <c r="P45" s="2"/>
    </row>
    <row r="46" spans="1:16" ht="19.5" thickTop="1" x14ac:dyDescent="0.3">
      <c r="A46" s="2"/>
      <c r="B46" s="2"/>
      <c r="C46" s="19">
        <f>C44</f>
        <v>30000</v>
      </c>
      <c r="D46" s="22">
        <f>D44+D45</f>
        <v>12000</v>
      </c>
      <c r="E46" s="9"/>
      <c r="F46" s="14"/>
      <c r="G46" s="22">
        <f>F44-G44</f>
        <v>950</v>
      </c>
      <c r="H46" s="9"/>
      <c r="I46" s="14"/>
      <c r="J46" s="22">
        <f>I44-J44</f>
        <v>9200</v>
      </c>
      <c r="K46" s="2"/>
      <c r="L46" s="14"/>
      <c r="M46" s="22">
        <f>L44-M44</f>
        <v>50</v>
      </c>
      <c r="N46" s="2"/>
      <c r="O46" s="2"/>
      <c r="P46" s="2"/>
    </row>
    <row r="47" spans="1:16" ht="19.5" thickBot="1" x14ac:dyDescent="0.35">
      <c r="A47" s="2"/>
      <c r="B47" s="2"/>
      <c r="C47" s="14"/>
      <c r="D47" s="21"/>
      <c r="E47" s="2"/>
      <c r="F47" s="14"/>
      <c r="G47" s="15" t="s">
        <v>21</v>
      </c>
      <c r="H47" s="2"/>
      <c r="I47" s="14"/>
      <c r="J47" s="15" t="s">
        <v>21</v>
      </c>
      <c r="K47" s="2"/>
      <c r="L47" s="14"/>
      <c r="M47" s="15" t="s">
        <v>21</v>
      </c>
      <c r="N47" s="2"/>
      <c r="O47" s="2"/>
      <c r="P47" s="2"/>
    </row>
    <row r="48" spans="1:16" ht="19.5" thickTop="1" x14ac:dyDescent="0.3">
      <c r="A48" s="2"/>
      <c r="B48" s="2"/>
      <c r="C48" s="2"/>
      <c r="D48" s="22">
        <f>C46-D46</f>
        <v>18000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8.75" x14ac:dyDescent="0.3">
      <c r="A49" s="2"/>
      <c r="B49" s="2"/>
      <c r="C49" s="2"/>
      <c r="D49" s="15" t="s">
        <v>21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5.75" x14ac:dyDescent="0.25">
      <c r="A51" s="3" t="s">
        <v>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5.75" x14ac:dyDescent="0.25">
      <c r="A53" s="2"/>
      <c r="B53" s="25" t="s">
        <v>29</v>
      </c>
      <c r="C53" s="25" t="s">
        <v>30</v>
      </c>
      <c r="D53" s="25"/>
      <c r="E53" s="25"/>
      <c r="F53" s="25" t="s">
        <v>31</v>
      </c>
      <c r="G53" s="25"/>
      <c r="H53" s="25" t="s">
        <v>32</v>
      </c>
      <c r="I53" s="25"/>
      <c r="J53" s="2"/>
      <c r="K53" s="2"/>
      <c r="L53" s="2"/>
      <c r="M53" s="2"/>
      <c r="N53" s="2"/>
      <c r="O53" s="2"/>
      <c r="P53" s="2"/>
    </row>
    <row r="54" spans="1:16" ht="15.75" x14ac:dyDescent="0.25">
      <c r="A54" s="2"/>
      <c r="B54" s="25"/>
      <c r="C54" s="25"/>
      <c r="D54" s="25"/>
      <c r="E54" s="25"/>
      <c r="F54" s="26" t="s">
        <v>33</v>
      </c>
      <c r="G54" s="26" t="s">
        <v>34</v>
      </c>
      <c r="H54" s="26" t="s">
        <v>35</v>
      </c>
      <c r="I54" s="26" t="s">
        <v>36</v>
      </c>
      <c r="J54" s="2"/>
      <c r="K54" s="2"/>
      <c r="L54" s="2"/>
      <c r="M54" s="2"/>
      <c r="N54" s="2"/>
      <c r="O54" s="2"/>
      <c r="P54" s="2"/>
    </row>
    <row r="55" spans="1:16" ht="15.75" x14ac:dyDescent="0.25">
      <c r="A55" s="2"/>
      <c r="B55" s="24">
        <v>101</v>
      </c>
      <c r="C55" s="27" t="s">
        <v>39</v>
      </c>
      <c r="D55" s="27"/>
      <c r="E55" s="27"/>
      <c r="F55" s="28"/>
      <c r="G55" s="28">
        <v>30000</v>
      </c>
      <c r="H55" s="28"/>
      <c r="I55" s="28">
        <f>G55</f>
        <v>30000</v>
      </c>
      <c r="J55" s="2"/>
      <c r="K55" s="2"/>
      <c r="L55" s="2"/>
      <c r="M55" s="2"/>
      <c r="N55" s="2"/>
      <c r="O55" s="2"/>
      <c r="P55" s="2"/>
    </row>
    <row r="56" spans="1:16" ht="15.75" x14ac:dyDescent="0.25">
      <c r="A56" s="2"/>
      <c r="B56" s="24">
        <v>2182</v>
      </c>
      <c r="C56" s="27" t="s">
        <v>40</v>
      </c>
      <c r="D56" s="27"/>
      <c r="E56" s="27"/>
      <c r="F56" s="28">
        <v>11000</v>
      </c>
      <c r="G56" s="28"/>
      <c r="H56" s="28">
        <v>11000</v>
      </c>
      <c r="I56" s="28"/>
      <c r="J56" s="2"/>
      <c r="K56" s="2"/>
      <c r="L56" s="2"/>
      <c r="M56" s="2"/>
      <c r="N56" s="2"/>
      <c r="O56" s="2"/>
      <c r="P56" s="2"/>
    </row>
    <row r="57" spans="1:16" ht="15.75" x14ac:dyDescent="0.25">
      <c r="A57" s="2"/>
      <c r="B57" s="24">
        <v>401</v>
      </c>
      <c r="C57" s="27" t="s">
        <v>6</v>
      </c>
      <c r="D57" s="27"/>
      <c r="E57" s="27"/>
      <c r="F57" s="28"/>
      <c r="G57" s="28">
        <v>9200</v>
      </c>
      <c r="H57" s="28"/>
      <c r="I57" s="28">
        <f>G57</f>
        <v>9200</v>
      </c>
      <c r="J57" s="2"/>
      <c r="K57" s="2"/>
      <c r="L57" s="2"/>
      <c r="M57" s="2"/>
      <c r="N57" s="2"/>
      <c r="O57" s="2"/>
      <c r="P57" s="2"/>
    </row>
    <row r="58" spans="1:16" ht="15.75" x14ac:dyDescent="0.25">
      <c r="A58" s="2"/>
      <c r="B58" s="24">
        <v>411</v>
      </c>
      <c r="C58" s="27" t="s">
        <v>9</v>
      </c>
      <c r="D58" s="27"/>
      <c r="E58" s="27"/>
      <c r="F58" s="28">
        <f>L37</f>
        <v>10400</v>
      </c>
      <c r="G58" s="28"/>
      <c r="H58" s="28">
        <f>F58</f>
        <v>10400</v>
      </c>
      <c r="I58" s="28"/>
      <c r="J58" s="2"/>
      <c r="K58" s="2"/>
      <c r="L58" s="2"/>
      <c r="M58" s="2"/>
      <c r="N58" s="2"/>
      <c r="O58" s="2"/>
      <c r="P58" s="2"/>
    </row>
    <row r="59" spans="1:16" ht="15.75" x14ac:dyDescent="0.25">
      <c r="A59" s="2"/>
      <c r="B59" s="24">
        <v>512</v>
      </c>
      <c r="C59" s="27" t="s">
        <v>2</v>
      </c>
      <c r="D59" s="27"/>
      <c r="E59" s="27"/>
      <c r="F59" s="28">
        <f>C46</f>
        <v>30000</v>
      </c>
      <c r="G59" s="28">
        <f>D46</f>
        <v>12000</v>
      </c>
      <c r="H59" s="28">
        <f>D48</f>
        <v>18000</v>
      </c>
      <c r="I59" s="28"/>
      <c r="J59" s="2"/>
      <c r="K59" s="2"/>
      <c r="L59" s="2"/>
      <c r="M59" s="2"/>
      <c r="N59" s="2"/>
      <c r="O59" s="2"/>
      <c r="P59" s="2"/>
    </row>
    <row r="60" spans="1:16" ht="15.75" x14ac:dyDescent="0.25">
      <c r="A60" s="2"/>
      <c r="B60" s="24">
        <v>514</v>
      </c>
      <c r="C60" s="27" t="s">
        <v>41</v>
      </c>
      <c r="D60" s="27"/>
      <c r="E60" s="27"/>
      <c r="F60" s="28">
        <f>F44</f>
        <v>1000</v>
      </c>
      <c r="G60" s="28">
        <f>G44</f>
        <v>50</v>
      </c>
      <c r="H60" s="28">
        <f>F60-G60</f>
        <v>950</v>
      </c>
      <c r="I60" s="28"/>
      <c r="J60" s="2"/>
      <c r="K60" s="2"/>
      <c r="L60" s="2"/>
      <c r="M60" s="2"/>
      <c r="N60" s="2"/>
      <c r="O60" s="2"/>
      <c r="P60" s="2"/>
    </row>
    <row r="61" spans="1:16" ht="15.75" x14ac:dyDescent="0.25">
      <c r="A61" s="2"/>
      <c r="B61" s="24">
        <v>607</v>
      </c>
      <c r="C61" s="27" t="s">
        <v>5</v>
      </c>
      <c r="D61" s="27"/>
      <c r="E61" s="27"/>
      <c r="F61" s="28">
        <f>I44</f>
        <v>9200</v>
      </c>
      <c r="G61" s="28"/>
      <c r="H61" s="28">
        <f>F61</f>
        <v>9200</v>
      </c>
      <c r="I61" s="28"/>
      <c r="J61" s="2"/>
      <c r="K61" s="2"/>
      <c r="L61" s="2"/>
      <c r="M61" s="2"/>
      <c r="N61" s="2"/>
      <c r="O61" s="2"/>
      <c r="P61" s="2"/>
    </row>
    <row r="62" spans="1:16" ht="15.75" x14ac:dyDescent="0.25">
      <c r="A62" s="2"/>
      <c r="B62" s="24">
        <v>616</v>
      </c>
      <c r="C62" s="27" t="s">
        <v>42</v>
      </c>
      <c r="D62" s="27"/>
      <c r="E62" s="27"/>
      <c r="F62" s="28">
        <v>50</v>
      </c>
      <c r="G62" s="28"/>
      <c r="H62" s="28">
        <v>50</v>
      </c>
      <c r="I62" s="28"/>
      <c r="J62" s="2"/>
      <c r="K62" s="2"/>
      <c r="L62" s="2"/>
      <c r="M62" s="2"/>
      <c r="N62" s="2"/>
      <c r="O62" s="2"/>
      <c r="P62" s="2"/>
    </row>
    <row r="63" spans="1:16" ht="15.75" x14ac:dyDescent="0.25">
      <c r="A63" s="2"/>
      <c r="B63" s="24">
        <v>707</v>
      </c>
      <c r="C63" s="27" t="s">
        <v>43</v>
      </c>
      <c r="D63" s="27"/>
      <c r="E63" s="27"/>
      <c r="F63" s="28"/>
      <c r="G63" s="28">
        <v>10400</v>
      </c>
      <c r="H63" s="28"/>
      <c r="I63" s="28">
        <v>10400</v>
      </c>
      <c r="J63" s="2"/>
      <c r="K63" s="2"/>
      <c r="L63" s="2"/>
      <c r="M63" s="2"/>
      <c r="N63" s="2"/>
      <c r="O63" s="2"/>
      <c r="P63" s="2"/>
    </row>
    <row r="64" spans="1:16" ht="15.75" x14ac:dyDescent="0.25">
      <c r="A64" s="2"/>
      <c r="B64" s="24"/>
      <c r="C64" s="27"/>
      <c r="D64" s="27"/>
      <c r="E64" s="27"/>
      <c r="F64" s="28"/>
      <c r="G64" s="28"/>
      <c r="H64" s="28"/>
      <c r="I64" s="28"/>
      <c r="J64" s="2"/>
      <c r="K64" s="2"/>
      <c r="L64" s="2"/>
      <c r="M64" s="2"/>
      <c r="N64" s="2"/>
      <c r="O64" s="2"/>
      <c r="P64" s="2"/>
    </row>
    <row r="65" spans="1:12" ht="15.75" x14ac:dyDescent="0.25">
      <c r="B65" s="29"/>
      <c r="C65" s="30" t="s">
        <v>44</v>
      </c>
      <c r="D65" s="30"/>
      <c r="E65" s="30"/>
      <c r="F65" s="31">
        <f>SUM(F55:F64)</f>
        <v>61650</v>
      </c>
      <c r="G65" s="31">
        <f t="shared" ref="G65:I65" si="0">SUM(G55:G64)</f>
        <v>61650</v>
      </c>
      <c r="H65" s="31">
        <f t="shared" si="0"/>
        <v>49600</v>
      </c>
      <c r="I65" s="31">
        <f t="shared" si="0"/>
        <v>49600</v>
      </c>
    </row>
    <row r="67" spans="1:12" x14ac:dyDescent="0.25">
      <c r="B67" t="s">
        <v>45</v>
      </c>
    </row>
    <row r="68" spans="1:12" x14ac:dyDescent="0.25">
      <c r="C68" t="s">
        <v>46</v>
      </c>
    </row>
    <row r="70" spans="1:12" x14ac:dyDescent="0.25">
      <c r="A70" s="1" t="s">
        <v>62</v>
      </c>
      <c r="C70" s="32" t="s">
        <v>47</v>
      </c>
      <c r="D70" s="32"/>
      <c r="E70" s="32"/>
      <c r="F70" s="33" t="s">
        <v>48</v>
      </c>
      <c r="G70" s="32" t="s">
        <v>49</v>
      </c>
      <c r="H70" s="32"/>
      <c r="I70" s="32"/>
      <c r="J70" s="33" t="s">
        <v>48</v>
      </c>
    </row>
    <row r="71" spans="1:12" x14ac:dyDescent="0.25">
      <c r="C71" s="35" t="s">
        <v>52</v>
      </c>
      <c r="D71" s="35"/>
      <c r="E71" s="35"/>
      <c r="F71" s="38"/>
      <c r="G71" s="35" t="s">
        <v>50</v>
      </c>
      <c r="H71" s="35"/>
      <c r="I71" s="35"/>
      <c r="J71" s="38"/>
    </row>
    <row r="72" spans="1:12" x14ac:dyDescent="0.25">
      <c r="C72" s="36" t="s">
        <v>53</v>
      </c>
      <c r="D72" s="36"/>
      <c r="E72" s="36"/>
      <c r="F72" s="37">
        <v>11000</v>
      </c>
      <c r="G72" s="36" t="s">
        <v>51</v>
      </c>
      <c r="H72" s="36"/>
      <c r="I72" s="36"/>
      <c r="J72" s="37">
        <f>I55</f>
        <v>30000</v>
      </c>
    </row>
    <row r="73" spans="1:12" x14ac:dyDescent="0.25">
      <c r="C73" s="36"/>
      <c r="D73" s="36"/>
      <c r="E73" s="36"/>
      <c r="F73" s="37"/>
      <c r="G73" s="36" t="s">
        <v>63</v>
      </c>
      <c r="H73" s="36"/>
      <c r="I73" s="36"/>
      <c r="J73" s="41">
        <v>1150</v>
      </c>
    </row>
    <row r="74" spans="1:12" x14ac:dyDescent="0.25">
      <c r="C74" s="39" t="s">
        <v>56</v>
      </c>
      <c r="D74" s="39"/>
      <c r="E74" s="39"/>
      <c r="F74" s="37"/>
      <c r="G74" s="39"/>
      <c r="H74" s="39"/>
      <c r="I74" s="39"/>
      <c r="J74" s="37"/>
    </row>
    <row r="75" spans="1:12" x14ac:dyDescent="0.25">
      <c r="C75" s="36" t="s">
        <v>57</v>
      </c>
      <c r="D75" s="36"/>
      <c r="E75" s="36"/>
      <c r="F75" s="37">
        <f>H58</f>
        <v>10400</v>
      </c>
      <c r="G75" s="36"/>
      <c r="H75" s="36"/>
      <c r="I75" s="36"/>
      <c r="J75" s="37"/>
    </row>
    <row r="76" spans="1:12" x14ac:dyDescent="0.25">
      <c r="C76" s="36" t="s">
        <v>58</v>
      </c>
      <c r="D76" s="36"/>
      <c r="E76" s="36"/>
      <c r="F76" s="37">
        <v>18000</v>
      </c>
      <c r="G76" s="39" t="s">
        <v>54</v>
      </c>
      <c r="H76" s="39"/>
      <c r="I76" s="39"/>
      <c r="J76" s="37"/>
      <c r="L76" s="40"/>
    </row>
    <row r="77" spans="1:12" x14ac:dyDescent="0.25">
      <c r="C77" s="36" t="s">
        <v>59</v>
      </c>
      <c r="D77" s="36"/>
      <c r="E77" s="36"/>
      <c r="F77" s="37">
        <v>950</v>
      </c>
      <c r="G77" s="36" t="s">
        <v>55</v>
      </c>
      <c r="H77" s="36"/>
      <c r="I77" s="36"/>
      <c r="J77" s="37">
        <v>9200</v>
      </c>
    </row>
    <row r="78" spans="1:12" x14ac:dyDescent="0.25">
      <c r="C78" s="36"/>
      <c r="D78" s="36"/>
      <c r="E78" s="36"/>
      <c r="F78" s="37"/>
      <c r="G78" s="36"/>
      <c r="H78" s="36"/>
      <c r="I78" s="36"/>
      <c r="J78" s="37"/>
    </row>
    <row r="79" spans="1:12" x14ac:dyDescent="0.25">
      <c r="C79" s="34" t="s">
        <v>60</v>
      </c>
      <c r="D79" s="34"/>
      <c r="E79" s="34"/>
      <c r="F79" s="31">
        <f>SUM(F71:F78)</f>
        <v>40350</v>
      </c>
      <c r="G79" s="34" t="s">
        <v>61</v>
      </c>
      <c r="H79" s="34"/>
      <c r="I79" s="34"/>
      <c r="J79" s="31">
        <f>SUM(J71:J78)</f>
        <v>40350</v>
      </c>
    </row>
    <row r="81" spans="1:6" x14ac:dyDescent="0.25">
      <c r="A81" s="1" t="s">
        <v>64</v>
      </c>
    </row>
    <row r="82" spans="1:6" x14ac:dyDescent="0.25">
      <c r="C82" s="35" t="s">
        <v>65</v>
      </c>
      <c r="D82" s="35"/>
      <c r="E82" s="35"/>
      <c r="F82" s="38"/>
    </row>
    <row r="83" spans="1:6" x14ac:dyDescent="0.25">
      <c r="C83" s="36" t="s">
        <v>66</v>
      </c>
      <c r="D83" s="36"/>
      <c r="E83" s="36"/>
      <c r="F83" s="37">
        <v>10400</v>
      </c>
    </row>
    <row r="84" spans="1:6" x14ac:dyDescent="0.25">
      <c r="C84" s="36"/>
      <c r="D84" s="36"/>
      <c r="E84" s="36"/>
      <c r="F84" s="37"/>
    </row>
    <row r="85" spans="1:6" x14ac:dyDescent="0.25">
      <c r="C85" s="39" t="s">
        <v>67</v>
      </c>
      <c r="D85" s="39"/>
      <c r="E85" s="39"/>
      <c r="F85" s="37"/>
    </row>
    <row r="86" spans="1:6" x14ac:dyDescent="0.25">
      <c r="C86" s="36" t="s">
        <v>68</v>
      </c>
      <c r="D86" s="36"/>
      <c r="E86" s="36"/>
      <c r="F86" s="37">
        <v>9200</v>
      </c>
    </row>
    <row r="87" spans="1:6" x14ac:dyDescent="0.25">
      <c r="C87" s="36" t="s">
        <v>69</v>
      </c>
      <c r="D87" s="36"/>
      <c r="E87" s="36"/>
      <c r="F87" s="37">
        <v>50</v>
      </c>
    </row>
    <row r="88" spans="1:6" x14ac:dyDescent="0.25">
      <c r="C88" s="36"/>
      <c r="D88" s="36"/>
      <c r="E88" s="36"/>
      <c r="F88" s="37"/>
    </row>
    <row r="89" spans="1:6" x14ac:dyDescent="0.25">
      <c r="C89" s="34" t="s">
        <v>70</v>
      </c>
      <c r="D89" s="34"/>
      <c r="E89" s="34"/>
      <c r="F89" s="31">
        <f>F83-F86-F87</f>
        <v>1150</v>
      </c>
    </row>
    <row r="90" spans="1:6" x14ac:dyDescent="0.25">
      <c r="C90" s="39"/>
      <c r="D90" s="39"/>
      <c r="E90" s="39"/>
      <c r="F90" s="42"/>
    </row>
    <row r="91" spans="1:6" x14ac:dyDescent="0.25">
      <c r="C91" s="34" t="s">
        <v>71</v>
      </c>
      <c r="D91" s="34"/>
      <c r="E91" s="34"/>
      <c r="F91" s="43">
        <f>F89</f>
        <v>1150</v>
      </c>
    </row>
  </sheetData>
  <mergeCells count="73">
    <mergeCell ref="C90:E90"/>
    <mergeCell ref="C91:E91"/>
    <mergeCell ref="C84:E84"/>
    <mergeCell ref="C85:E85"/>
    <mergeCell ref="C86:E86"/>
    <mergeCell ref="C87:E87"/>
    <mergeCell ref="C88:E88"/>
    <mergeCell ref="C89:E89"/>
    <mergeCell ref="C79:E79"/>
    <mergeCell ref="G79:I79"/>
    <mergeCell ref="C82:E82"/>
    <mergeCell ref="C83:E83"/>
    <mergeCell ref="C76:E76"/>
    <mergeCell ref="G76:I76"/>
    <mergeCell ref="C77:E77"/>
    <mergeCell ref="G77:I77"/>
    <mergeCell ref="C78:E78"/>
    <mergeCell ref="G78:I78"/>
    <mergeCell ref="C73:E73"/>
    <mergeCell ref="G73:I73"/>
    <mergeCell ref="C74:E74"/>
    <mergeCell ref="G74:I74"/>
    <mergeCell ref="C75:E75"/>
    <mergeCell ref="G75:I75"/>
    <mergeCell ref="C70:E70"/>
    <mergeCell ref="G70:I70"/>
    <mergeCell ref="C71:E71"/>
    <mergeCell ref="G71:I71"/>
    <mergeCell ref="C72:E72"/>
    <mergeCell ref="G72:I72"/>
    <mergeCell ref="C60:E60"/>
    <mergeCell ref="C61:E61"/>
    <mergeCell ref="C62:E62"/>
    <mergeCell ref="C63:E63"/>
    <mergeCell ref="C64:E64"/>
    <mergeCell ref="C65:E65"/>
    <mergeCell ref="B53:B54"/>
    <mergeCell ref="C55:E55"/>
    <mergeCell ref="C56:E56"/>
    <mergeCell ref="C57:E57"/>
    <mergeCell ref="C58:E58"/>
    <mergeCell ref="C59:E59"/>
    <mergeCell ref="L43:M43"/>
    <mergeCell ref="O40:P40"/>
    <mergeCell ref="F53:G53"/>
    <mergeCell ref="H53:I53"/>
    <mergeCell ref="C53:E54"/>
    <mergeCell ref="E33:H33"/>
    <mergeCell ref="C36:D36"/>
    <mergeCell ref="C43:D43"/>
    <mergeCell ref="F36:G36"/>
    <mergeCell ref="I36:J36"/>
    <mergeCell ref="L36:M36"/>
    <mergeCell ref="F43:G43"/>
    <mergeCell ref="I43:J43"/>
    <mergeCell ref="E27:H27"/>
    <mergeCell ref="E28:H28"/>
    <mergeCell ref="E29:H29"/>
    <mergeCell ref="E30:H30"/>
    <mergeCell ref="E31:H31"/>
    <mergeCell ref="E32:H32"/>
    <mergeCell ref="E21:H21"/>
    <mergeCell ref="E22:H22"/>
    <mergeCell ref="E23:H23"/>
    <mergeCell ref="E24:H24"/>
    <mergeCell ref="E25:H25"/>
    <mergeCell ref="E26:H26"/>
    <mergeCell ref="E15:H15"/>
    <mergeCell ref="E16:H16"/>
    <mergeCell ref="E17:H17"/>
    <mergeCell ref="E18:H18"/>
    <mergeCell ref="E19:H19"/>
    <mergeCell ref="E20:H20"/>
  </mergeCells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21F281528E941A8A4A5611DD80182" ma:contentTypeVersion="3" ma:contentTypeDescription="Crée un document." ma:contentTypeScope="" ma:versionID="dc48e80715564ff8272004f28d58d7a5">
  <xsd:schema xmlns:xsd="http://www.w3.org/2001/XMLSchema" xmlns:xs="http://www.w3.org/2001/XMLSchema" xmlns:p="http://schemas.microsoft.com/office/2006/metadata/properties" xmlns:ns2="600aeaf4-6316-4b7b-a46c-a5995aa01926" targetNamespace="http://schemas.microsoft.com/office/2006/metadata/properties" ma:root="true" ma:fieldsID="484ea4987e64ae07b890c18f04594dc4" ns2:_="">
    <xsd:import namespace="600aeaf4-6316-4b7b-a46c-a5995aa019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aeaf4-6316-4b7b-a46c-a5995aa019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8E44C1-1566-4745-86D9-3DF46F05BA2A}"/>
</file>

<file path=customXml/itemProps2.xml><?xml version="1.0" encoding="utf-8"?>
<ds:datastoreItem xmlns:ds="http://schemas.openxmlformats.org/officeDocument/2006/customXml" ds:itemID="{B94AC3C2-A97C-4C05-B0BF-0D2F76D01397}"/>
</file>

<file path=customXml/itemProps3.xml><?xml version="1.0" encoding="utf-8"?>
<ds:datastoreItem xmlns:ds="http://schemas.openxmlformats.org/officeDocument/2006/customXml" ds:itemID="{AE2B2A38-7071-4D49-A197-41BBDD6F1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R�da SEFSAF</dc:creator>
  <cp:lastModifiedBy>R�da SEFSAF</cp:lastModifiedBy>
  <dcterms:created xsi:type="dcterms:W3CDTF">2026-03-07T08:56:10Z</dcterms:created>
  <dcterms:modified xsi:type="dcterms:W3CDTF">2026-03-10T13:47:08Z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0x01010040021F281528E941A8A4A5611DD80182</vt:lpwstr>
  </property>
</Properties>
</file>